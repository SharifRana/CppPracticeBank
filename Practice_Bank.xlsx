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 hidePivotFieldList="1"/>
  <xr:revisionPtr revIDLastSave="0" documentId="13_ncr:1_{9F746996-0969-4303-8691-90B90EF076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ashboard" sheetId="4" r:id="rId1"/>
    <sheet name="Practice_Log" sheetId="3" r:id="rId2"/>
    <sheet name="Problems" sheetId="1" r:id="rId3"/>
    <sheet name="Topics" sheetId="7" r:id="rId4"/>
    <sheet name="Journal" sheetId="5" r:id="rId5"/>
    <sheet name="Challenges" sheetId="6" r:id="rId6"/>
    <sheet name="Settings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4" l="1"/>
  <c r="D18" i="4"/>
  <c r="D19" i="4"/>
  <c r="D20" i="4"/>
  <c r="D21" i="4"/>
  <c r="D22" i="4"/>
  <c r="D23" i="4"/>
  <c r="D24" i="4"/>
  <c r="D25" i="4"/>
  <c r="D26" i="4"/>
  <c r="E17" i="4"/>
  <c r="E18" i="4"/>
  <c r="E19" i="4"/>
  <c r="E20" i="4"/>
  <c r="E21" i="4"/>
  <c r="E22" i="4"/>
  <c r="E23" i="4"/>
  <c r="E24" i="4"/>
  <c r="E25" i="4"/>
  <c r="E26" i="4"/>
  <c r="E16" i="4"/>
  <c r="D16" i="4"/>
  <c r="C25" i="4"/>
  <c r="C26" i="4"/>
  <c r="C17" i="4"/>
  <c r="C18" i="4"/>
  <c r="C19" i="4"/>
  <c r="C20" i="4"/>
  <c r="C21" i="4"/>
  <c r="C22" i="4"/>
  <c r="C23" i="4"/>
  <c r="C24" i="4"/>
  <c r="C16" i="4"/>
  <c r="B13" i="7" l="1"/>
  <c r="D13" i="7" s="1"/>
  <c r="B5" i="7"/>
  <c r="D5" i="7" s="1"/>
  <c r="C5" i="7"/>
  <c r="E5" i="7"/>
  <c r="B6" i="7"/>
  <c r="D6" i="7" s="1"/>
  <c r="C6" i="7"/>
  <c r="E6" i="7"/>
  <c r="B7" i="7"/>
  <c r="D7" i="7" s="1"/>
  <c r="C7" i="7"/>
  <c r="E7" i="7"/>
  <c r="B8" i="7"/>
  <c r="D8" i="7" s="1"/>
  <c r="C8" i="7"/>
  <c r="E8" i="7"/>
  <c r="B9" i="7"/>
  <c r="D9" i="7" s="1"/>
  <c r="C9" i="7"/>
  <c r="E9" i="7"/>
  <c r="B10" i="7"/>
  <c r="D10" i="7" s="1"/>
  <c r="C10" i="7"/>
  <c r="E10" i="7"/>
  <c r="B11" i="7"/>
  <c r="D11" i="7" s="1"/>
  <c r="C11" i="7"/>
  <c r="E11" i="7"/>
  <c r="B12" i="7"/>
  <c r="D12" i="7" s="1"/>
  <c r="C12" i="7"/>
  <c r="E12" i="7"/>
  <c r="C13" i="7"/>
  <c r="E13" i="7"/>
  <c r="B4" i="7"/>
  <c r="C4" i="7"/>
  <c r="D4" i="7"/>
  <c r="E4" i="7"/>
  <c r="E3" i="7"/>
  <c r="C3" i="7"/>
  <c r="B3" i="7"/>
  <c r="E7" i="4"/>
  <c r="E6" i="4"/>
  <c r="E5" i="4"/>
  <c r="E4" i="4"/>
  <c r="C12" i="4"/>
  <c r="C11" i="4"/>
  <c r="C10" i="4"/>
  <c r="C9" i="4"/>
  <c r="C8" i="4"/>
  <c r="C7" i="4"/>
  <c r="C6" i="4"/>
  <c r="C5" i="4"/>
  <c r="C4" i="4"/>
  <c r="G4" i="3"/>
  <c r="B4" i="3"/>
  <c r="D3" i="7" l="1"/>
</calcChain>
</file>

<file path=xl/sharedStrings.xml><?xml version="1.0" encoding="utf-8"?>
<sst xmlns="http://schemas.openxmlformats.org/spreadsheetml/2006/main" count="174" uniqueCount="118">
  <si>
    <t>Basics</t>
  </si>
  <si>
    <t>Operators</t>
  </si>
  <si>
    <t>Conditions</t>
  </si>
  <si>
    <t>Loops</t>
  </si>
  <si>
    <t>Arrays</t>
  </si>
  <si>
    <t>Strings</t>
  </si>
  <si>
    <t>Functions</t>
  </si>
  <si>
    <t>Pointers</t>
  </si>
  <si>
    <t>OOP</t>
  </si>
  <si>
    <t>STL</t>
  </si>
  <si>
    <t>DSA</t>
  </si>
  <si>
    <t>Topic</t>
  </si>
  <si>
    <t>Level</t>
  </si>
  <si>
    <t>L1 (Copy)</t>
  </si>
  <si>
    <t>L2 (Modify)</t>
  </si>
  <si>
    <t>L3 (Combine)</t>
  </si>
  <si>
    <t>L4 (Create)</t>
  </si>
  <si>
    <t>Source</t>
  </si>
  <si>
    <t>Book</t>
  </si>
  <si>
    <t>HackerRank</t>
  </si>
  <si>
    <t>LeetCode</t>
  </si>
  <si>
    <t>Toph</t>
  </si>
  <si>
    <t>GeeksforGeeks</t>
  </si>
  <si>
    <t>YouTube</t>
  </si>
  <si>
    <t>Self</t>
  </si>
  <si>
    <t>DeepSeek</t>
  </si>
  <si>
    <t>Status</t>
  </si>
  <si>
    <t>⬜ Not Started</t>
  </si>
  <si>
    <t>⏳ In Progress</t>
  </si>
  <si>
    <t>✅ Done</t>
  </si>
  <si>
    <t>❌ Failed</t>
  </si>
  <si>
    <t>Difficulty</t>
  </si>
  <si>
    <t>Easy</t>
  </si>
  <si>
    <t>Medium</t>
  </si>
  <si>
    <t>Hard</t>
  </si>
  <si>
    <t>Phase</t>
  </si>
  <si>
    <t>Phase 1</t>
  </si>
  <si>
    <t>Phase 2</t>
  </si>
  <si>
    <t>Phase 3</t>
  </si>
  <si>
    <t>Phase 4</t>
  </si>
  <si>
    <t>Phase 5</t>
  </si>
  <si>
    <t>Phase 6</t>
  </si>
  <si>
    <t>ID</t>
  </si>
  <si>
    <t>Date</t>
  </si>
  <si>
    <t>Program_Name</t>
  </si>
  <si>
    <t>Hello World</t>
  </si>
  <si>
    <t>Time_Min</t>
  </si>
  <si>
    <t>Notes</t>
  </si>
  <si>
    <t>GitHub</t>
  </si>
  <si>
    <t>Review_1</t>
  </si>
  <si>
    <t>Review_2</t>
  </si>
  <si>
    <t>Day</t>
  </si>
  <si>
    <t>L1_Count</t>
  </si>
  <si>
    <t>L2_Count</t>
  </si>
  <si>
    <t>L3_Count</t>
  </si>
  <si>
    <t>L4_Count</t>
  </si>
  <si>
    <t>Total</t>
  </si>
  <si>
    <t>Mood</t>
  </si>
  <si>
    <t>KPI সেকশন:</t>
  </si>
  <si>
    <t>বিষয়</t>
  </si>
  <si>
    <t>আজকের তারিখ</t>
  </si>
  <si>
    <t>মোট প্রোগ্রাম</t>
  </si>
  <si>
    <t>Done</t>
  </si>
  <si>
    <t>In Progress</t>
  </si>
  <si>
    <t>Not Started</t>
  </si>
  <si>
    <t>মোট সময় (ঘন্টা)</t>
  </si>
  <si>
    <t>আজকের প্রোগ্রাম</t>
  </si>
  <si>
    <t>সাপ্তাহিক Avg</t>
  </si>
  <si>
    <t>সাকসেস Rate</t>
  </si>
  <si>
    <t>Level ভিত্তিক:</t>
  </si>
  <si>
    <t>L1 Count</t>
  </si>
  <si>
    <t>L2 Count</t>
  </si>
  <si>
    <t>L3 Count</t>
  </si>
  <si>
    <t>L4 Count</t>
  </si>
  <si>
    <t>Topic ভিত্তিক (Table):</t>
  </si>
  <si>
    <t>Count</t>
  </si>
  <si>
    <t>Time</t>
  </si>
  <si>
    <t>Done %</t>
  </si>
  <si>
    <t>Programs</t>
  </si>
  <si>
    <t>1. Hello World...</t>
  </si>
  <si>
    <t>Learned</t>
  </si>
  <si>
    <t>cout basics</t>
  </si>
  <si>
    <t>Challenge</t>
  </si>
  <si>
    <t>Semicolon</t>
  </si>
  <si>
    <t>Tomorrow</t>
  </si>
  <si>
    <t>5 programs</t>
  </si>
  <si>
    <t>তারিখ: 05-Oct-2026</t>
  </si>
  <si>
    <t>আজকের প্রোগ্রাম:</t>
  </si>
  <si>
    <t>১. Hello World (L1) - ৫ মিনিট</t>
  </si>
  <si>
    <t>২. Bio Data (L2) - ১০ মিনিট</t>
  </si>
  <si>
    <t>শিখলাম:</t>
  </si>
  <si>
    <t>চ্যালেঞ্জ:</t>
  </si>
  <si>
    <t>কালকের লক্ষ্য:</t>
  </si>
  <si>
    <t>- ৫টি প্রোগ্রাম</t>
  </si>
  <si>
    <t>cout কীভাবে কাজ করে</t>
  </si>
  <si>
    <t>Semicolon ভুলে গিয়েছিলাম</t>
  </si>
  <si>
    <t>━━━━━━━━━━━━</t>
  </si>
  <si>
    <t>Nested loop কঠিন</t>
  </si>
  <si>
    <t>Attempt1</t>
  </si>
  <si>
    <t>৩০ মিনিট লড়লাম</t>
  </si>
  <si>
    <t>Solution</t>
  </si>
  <si>
    <t>Pattern ভেঙে বুঝলাম</t>
  </si>
  <si>
    <t>Learning</t>
  </si>
  <si>
    <t>ছোট করে ভাঙুন</t>
  </si>
  <si>
    <t>✅ Resolved</t>
  </si>
  <si>
    <t>Example:</t>
  </si>
  <si>
    <t>Progress</t>
  </si>
  <si>
    <t>শীট ৭: Topics (টপিক-ভিত্তিক অগ্রগতি)</t>
  </si>
  <si>
    <t>শীট ৬: Challenges (সমস্যা ও সমাধান)</t>
  </si>
  <si>
    <t>শীট ৫: Journal (দৈনিক নোট)</t>
  </si>
  <si>
    <t>শীট ৪: Dashboard (সারসংক্ষেপ)</t>
  </si>
  <si>
    <t>শীট ৩: Practice_Log (দৈনিক রেকর্ড)</t>
  </si>
  <si>
    <t>শীট ২: Settings (Dropdown-এর তালিকা)</t>
  </si>
  <si>
    <t>শীট ১: Problems (মূল শীট)</t>
  </si>
  <si>
    <t>My Name</t>
  </si>
  <si>
    <t>Bio Data</t>
  </si>
  <si>
    <t>Sum of 2</t>
  </si>
  <si>
    <t>Average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</si>
</sst>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0" borderId="4" xfId="0" applyBorder="1"/>
    <xf numFmtId="0" fontId="0" fillId="0" borderId="6" xfId="0" applyBorder="1"/>
    <xf numFmtId="0" fontId="4" fillId="0" borderId="3" xfId="0" applyFont="1" applyBorder="1"/>
    <xf numFmtId="164" fontId="4" fillId="0" borderId="4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8" xfId="0" applyFont="1" applyBorder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0" fillId="0" borderId="0" xfId="0" applyBorder="1"/>
    <xf numFmtId="0" fontId="2" fillId="0" borderId="5" xfId="0" applyFont="1" applyBorder="1" applyAlignment="1">
      <alignment vertical="center"/>
    </xf>
    <xf numFmtId="0" fontId="0" fillId="0" borderId="8" xfId="0" applyBorder="1"/>
    <xf numFmtId="0" fontId="5" fillId="0" borderId="0" xfId="0" applyFont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4" fillId="0" borderId="0" xfId="0" applyFont="1" applyAlignment="1"/>
    <xf numFmtId="0" fontId="6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3" fillId="2" borderId="7" xfId="0" applyFont="1" applyFill="1" applyBorder="1" applyAlignment="1">
      <alignment vertical="center"/>
    </xf>
    <xf numFmtId="164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i val="0"/>
        <color rgb="FF00B050"/>
      </font>
    </dxf>
    <dxf>
      <font>
        <b/>
        <i val="0"/>
        <color rgb="FFFFFF00"/>
      </font>
    </dxf>
    <dxf>
      <font>
        <b/>
        <i val="0"/>
        <color theme="2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2304-8365-4517-8A30-7953C8AEF56D}">
  <dimension ref="B1:E26"/>
  <sheetViews>
    <sheetView tabSelected="1" topLeftCell="A4" workbookViewId="0">
      <selection activeCell="G9" sqref="G9"/>
    </sheetView>
  </sheetViews>
  <sheetFormatPr defaultRowHeight="15"/>
  <cols>
    <col min="2" max="2" width="17.42578125" bestFit="1" customWidth="1"/>
    <col min="3" max="3" width="14" bestFit="1" customWidth="1"/>
    <col min="4" max="4" width="9.140625" bestFit="1" customWidth="1"/>
    <col min="5" max="5" width="14.7109375" bestFit="1" customWidth="1"/>
    <col min="7" max="7" width="21" bestFit="1" customWidth="1"/>
  </cols>
  <sheetData>
    <row r="1" spans="2:5" ht="23.25" customHeight="1">
      <c r="B1" s="32" t="s">
        <v>110</v>
      </c>
    </row>
    <row r="2" spans="2:5" ht="15.75" thickBot="1"/>
    <row r="3" spans="2:5" s="18" customFormat="1" ht="20.25" customHeight="1">
      <c r="B3" s="16" t="s">
        <v>59</v>
      </c>
      <c r="C3" s="17" t="s">
        <v>58</v>
      </c>
      <c r="D3" s="19" t="s">
        <v>59</v>
      </c>
      <c r="E3" s="20" t="s">
        <v>69</v>
      </c>
    </row>
    <row r="4" spans="2:5" ht="15.75">
      <c r="B4" s="9" t="s">
        <v>60</v>
      </c>
      <c r="C4" s="10">
        <f ca="1">TODAY()</f>
        <v>46301</v>
      </c>
      <c r="D4" s="9" t="s">
        <v>70</v>
      </c>
      <c r="E4" s="21">
        <f>COUNTIF(Problems!D:D,"L1 (Copy)")</f>
        <v>2</v>
      </c>
    </row>
    <row r="5" spans="2:5" ht="15.75">
      <c r="B5" s="9" t="s">
        <v>61</v>
      </c>
      <c r="C5" s="11">
        <f>COUNTA(Problems!E:E)-1</f>
        <v>5</v>
      </c>
      <c r="D5" s="9" t="s">
        <v>71</v>
      </c>
      <c r="E5" s="21">
        <f>COUNTIF(Problems!D:D,"L2 (Modify)")</f>
        <v>2</v>
      </c>
    </row>
    <row r="6" spans="2:5" ht="15.75">
      <c r="B6" s="9" t="s">
        <v>62</v>
      </c>
      <c r="C6" s="11">
        <f>COUNTIF(Problems!H:H,"✅ Done")</f>
        <v>0</v>
      </c>
      <c r="D6" s="9" t="s">
        <v>72</v>
      </c>
      <c r="E6" s="21">
        <f>COUNTIF(Problems!D:D,"L3 (Combine)")</f>
        <v>1</v>
      </c>
    </row>
    <row r="7" spans="2:5" ht="16.5" thickBot="1">
      <c r="B7" s="9" t="s">
        <v>63</v>
      </c>
      <c r="C7" s="11">
        <f>COUNTIF(Problems!H:H, "⏳ In Progress")</f>
        <v>0</v>
      </c>
      <c r="D7" s="12" t="s">
        <v>73</v>
      </c>
      <c r="E7" s="22">
        <f>COUNTIF(Problems!D:D,"L4 (Create)")</f>
        <v>0</v>
      </c>
    </row>
    <row r="8" spans="2:5" ht="15.75">
      <c r="B8" s="9" t="s">
        <v>64</v>
      </c>
      <c r="C8" s="11">
        <f>COUNTIF(Problems!H:H, "⬜ Not Started")</f>
        <v>1</v>
      </c>
    </row>
    <row r="9" spans="2:5" ht="15.75">
      <c r="B9" s="9" t="s">
        <v>65</v>
      </c>
      <c r="C9" s="11">
        <f>SUM(Problems!G:G)/60</f>
        <v>0</v>
      </c>
    </row>
    <row r="10" spans="2:5" ht="15.75">
      <c r="B10" s="9" t="s">
        <v>66</v>
      </c>
      <c r="C10" s="11">
        <f ca="1">COUNTIF(Problems!B:B,TODAY())</f>
        <v>5</v>
      </c>
    </row>
    <row r="11" spans="2:5" ht="15.75">
      <c r="B11" s="9" t="s">
        <v>67</v>
      </c>
      <c r="C11" s="11">
        <f ca="1">COUNTIFS(Problems!B:B,"&gt;="&amp;TODAY()-7,Problems!H:H,"✅ Done")/7</f>
        <v>0</v>
      </c>
    </row>
    <row r="12" spans="2:5" ht="16.5" thickBot="1">
      <c r="B12" s="12" t="s">
        <v>68</v>
      </c>
      <c r="C12" s="13">
        <f>IFERROR(COUNTIF(Problems!H:H,"✅ Done")/COUNTA(Problems!E:E),0)</f>
        <v>0</v>
      </c>
    </row>
    <row r="13" spans="2:5" ht="15.75" thickBot="1"/>
    <row r="14" spans="2:5" ht="15.75">
      <c r="B14" s="16" t="s">
        <v>59</v>
      </c>
      <c r="C14" s="44" t="s">
        <v>74</v>
      </c>
      <c r="D14" s="23"/>
      <c r="E14" s="24"/>
    </row>
    <row r="15" spans="2:5">
      <c r="B15" s="25" t="s">
        <v>11</v>
      </c>
      <c r="C15" s="26" t="s">
        <v>75</v>
      </c>
      <c r="D15" s="26" t="s">
        <v>76</v>
      </c>
      <c r="E15" s="27" t="s">
        <v>77</v>
      </c>
    </row>
    <row r="16" spans="2:5">
      <c r="B16" s="28" t="s">
        <v>0</v>
      </c>
      <c r="C16" s="29">
        <f>COUNTIF(Problems!$C:$C,B16)</f>
        <v>5</v>
      </c>
      <c r="D16" s="29">
        <f>SUMIF(Problems!$C:$C,B16,Problems!$G:$G)</f>
        <v>0</v>
      </c>
      <c r="E16" s="7">
        <f>IFERROR(COUNTIFS(Problems!$C:$C,B16,Problems!$H:$H,"✅ Done")/COUNTIF(Problems!$C:$C,B16),0)</f>
        <v>0</v>
      </c>
    </row>
    <row r="17" spans="2:5">
      <c r="B17" s="28" t="s">
        <v>1</v>
      </c>
      <c r="C17" s="29">
        <f>COUNTIF(Problems!$C:$C,B17)</f>
        <v>0</v>
      </c>
      <c r="D17" s="29">
        <f>SUMIF(Problems!$C:$C,B17,Problems!$G:$G)</f>
        <v>0</v>
      </c>
      <c r="E17" s="7">
        <f>IFERROR(COUNTIFS(Problems!$C:$C,B17,Problems!$H:$H,"✅ Done")/COUNTIF(Problems!$C:$C,B17),0)</f>
        <v>0</v>
      </c>
    </row>
    <row r="18" spans="2:5">
      <c r="B18" s="28" t="s">
        <v>2</v>
      </c>
      <c r="C18" s="29">
        <f>COUNTIF(Problems!$C:$C,B18)</f>
        <v>0</v>
      </c>
      <c r="D18" s="29">
        <f>SUMIF(Problems!$C:$C,B18,Problems!$G:$G)</f>
        <v>0</v>
      </c>
      <c r="E18" s="7">
        <f>IFERROR(COUNTIFS(Problems!$C:$C,B18,Problems!$H:$H,"✅ Done")/COUNTIF(Problems!$C:$C,B18),0)</f>
        <v>0</v>
      </c>
    </row>
    <row r="19" spans="2:5">
      <c r="B19" s="28" t="s">
        <v>3</v>
      </c>
      <c r="C19" s="29">
        <f>COUNTIF(Problems!$C:$C,B19)</f>
        <v>0</v>
      </c>
      <c r="D19" s="29">
        <f>SUMIF(Problems!$C:$C,B19,Problems!$G:$G)</f>
        <v>0</v>
      </c>
      <c r="E19" s="7">
        <f>IFERROR(COUNTIFS(Problems!$C:$C,B19,Problems!$H:$H,"✅ Done")/COUNTIF(Problems!$C:$C,B19),0)</f>
        <v>0</v>
      </c>
    </row>
    <row r="20" spans="2:5">
      <c r="B20" s="28" t="s">
        <v>4</v>
      </c>
      <c r="C20" s="29">
        <f>COUNTIF(Problems!$C:$C,B20)</f>
        <v>0</v>
      </c>
      <c r="D20" s="29">
        <f>SUMIF(Problems!$C:$C,B20,Problems!$G:$G)</f>
        <v>0</v>
      </c>
      <c r="E20" s="7">
        <f>IFERROR(COUNTIFS(Problems!$C:$C,B20,Problems!$H:$H,"✅ Done")/COUNTIF(Problems!$C:$C,B20),0)</f>
        <v>0</v>
      </c>
    </row>
    <row r="21" spans="2:5">
      <c r="B21" s="28" t="s">
        <v>5</v>
      </c>
      <c r="C21" s="29">
        <f>COUNTIF(Problems!$C:$C,B21)</f>
        <v>0</v>
      </c>
      <c r="D21" s="29">
        <f>SUMIF(Problems!$C:$C,B21,Problems!$G:$G)</f>
        <v>0</v>
      </c>
      <c r="E21" s="7">
        <f>IFERROR(COUNTIFS(Problems!$C:$C,B21,Problems!$H:$H,"✅ Done")/COUNTIF(Problems!$C:$C,B21),0)</f>
        <v>0</v>
      </c>
    </row>
    <row r="22" spans="2:5">
      <c r="B22" s="28" t="s">
        <v>6</v>
      </c>
      <c r="C22" s="29">
        <f>COUNTIF(Problems!$C:$C,B22)</f>
        <v>0</v>
      </c>
      <c r="D22" s="29">
        <f>SUMIF(Problems!$C:$C,B22,Problems!$G:$G)</f>
        <v>0</v>
      </c>
      <c r="E22" s="7">
        <f>IFERROR(COUNTIFS(Problems!$C:$C,B22,Problems!$H:$H,"✅ Done")/COUNTIF(Problems!$C:$C,B22),0)</f>
        <v>0</v>
      </c>
    </row>
    <row r="23" spans="2:5">
      <c r="B23" s="28" t="s">
        <v>7</v>
      </c>
      <c r="C23" s="29">
        <f>COUNTIF(Problems!$C:$C,B23)</f>
        <v>0</v>
      </c>
      <c r="D23" s="29">
        <f>SUMIF(Problems!$C:$C,B23,Problems!$G:$G)</f>
        <v>0</v>
      </c>
      <c r="E23" s="7">
        <f>IFERROR(COUNTIFS(Problems!$C:$C,B23,Problems!$H:$H,"✅ Done")/COUNTIF(Problems!$C:$C,B23),0)</f>
        <v>0</v>
      </c>
    </row>
    <row r="24" spans="2:5">
      <c r="B24" s="28" t="s">
        <v>8</v>
      </c>
      <c r="C24" s="29">
        <f>COUNTIF(Problems!$C:$C,B24)</f>
        <v>0</v>
      </c>
      <c r="D24" s="29">
        <f>SUMIF(Problems!$C:$C,B24,Problems!$G:$G)</f>
        <v>0</v>
      </c>
      <c r="E24" s="7">
        <f>IFERROR(COUNTIFS(Problems!$C:$C,B24,Problems!$H:$H,"✅ Done")/COUNTIF(Problems!$C:$C,B24),0)</f>
        <v>0</v>
      </c>
    </row>
    <row r="25" spans="2:5">
      <c r="B25" s="28" t="s">
        <v>9</v>
      </c>
      <c r="C25" s="29">
        <f>COUNTIF(Problems!$C:$C,B25)</f>
        <v>0</v>
      </c>
      <c r="D25" s="29">
        <f>SUMIF(Problems!$C:$C,B25,Problems!$G:$G)</f>
        <v>0</v>
      </c>
      <c r="E25" s="7">
        <f>IFERROR(COUNTIFS(Problems!$C:$C,B25,Problems!$H:$H,"✅ Done")/COUNTIF(Problems!$C:$C,B25),0)</f>
        <v>0</v>
      </c>
    </row>
    <row r="26" spans="2:5" ht="15.75" thickBot="1">
      <c r="B26" s="30" t="s">
        <v>10</v>
      </c>
      <c r="C26" s="31">
        <f>COUNTIF(Problems!$C:$C,B26)</f>
        <v>0</v>
      </c>
      <c r="D26" s="31">
        <f>SUMIF(Problems!$C:$C,B26,Problems!$G:$G)</f>
        <v>0</v>
      </c>
      <c r="E26" s="8">
        <f>IFERROR(COUNTIFS(Problems!$C:$C,B26,Problems!$H:$H,"✅ Done")/COUNTIF(Problems!$C:$C,B26),0)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75F6-C32B-4A16-B92C-0C352068B40C}">
  <dimension ref="A1:J13"/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3" max="6" width="10.140625" bestFit="1" customWidth="1"/>
    <col min="8" max="8" width="10.7109375" bestFit="1" customWidth="1"/>
  </cols>
  <sheetData>
    <row r="1" spans="1:10" ht="27" customHeight="1">
      <c r="B1" s="32" t="s">
        <v>111</v>
      </c>
    </row>
    <row r="3" spans="1:10" ht="15.75">
      <c r="A3" s="6" t="s">
        <v>43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46</v>
      </c>
      <c r="I3" s="6" t="s">
        <v>57</v>
      </c>
      <c r="J3" s="6" t="s">
        <v>47</v>
      </c>
    </row>
    <row r="4" spans="1:10">
      <c r="A4" s="4"/>
      <c r="B4" s="4" t="str">
        <f>TEXT(A4,"dddd")</f>
        <v>Saturday</v>
      </c>
      <c r="C4" s="4"/>
      <c r="G4">
        <f>C4+D4+E4+F4</f>
        <v>0</v>
      </c>
    </row>
    <row r="5" spans="1:10">
      <c r="A5" s="4"/>
      <c r="B5" s="4"/>
      <c r="C5" s="4"/>
    </row>
    <row r="6" spans="1:10">
      <c r="A6" s="4"/>
      <c r="B6" s="4"/>
      <c r="C6" s="4"/>
    </row>
    <row r="7" spans="1:10">
      <c r="A7" s="4"/>
      <c r="B7" s="4"/>
      <c r="C7" s="4"/>
    </row>
    <row r="8" spans="1:10">
      <c r="A8" s="4"/>
      <c r="B8" s="4"/>
      <c r="C8" s="4"/>
    </row>
    <row r="9" spans="1:10">
      <c r="A9" s="4"/>
      <c r="B9" s="4"/>
      <c r="C9" s="4"/>
    </row>
    <row r="10" spans="1:10">
      <c r="A10" s="4"/>
      <c r="B10" s="4"/>
      <c r="C10" s="4"/>
    </row>
    <row r="11" spans="1:10">
      <c r="A11" s="4"/>
      <c r="B11" s="4"/>
      <c r="C11" s="4"/>
    </row>
    <row r="12" spans="1:10">
      <c r="A12" s="4"/>
      <c r="B12" s="4"/>
      <c r="C12" s="4"/>
    </row>
    <row r="13" spans="1:10">
      <c r="A13" s="4"/>
      <c r="B13" s="4"/>
      <c r="C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G10" sqref="G10"/>
    </sheetView>
  </sheetViews>
  <sheetFormatPr defaultRowHeight="15"/>
  <cols>
    <col min="2" max="2" width="10.85546875" customWidth="1"/>
    <col min="4" max="4" width="12.7109375" style="34" bestFit="1" customWidth="1"/>
    <col min="5" max="5" width="16.42578125" bestFit="1" customWidth="1"/>
    <col min="6" max="6" width="10" bestFit="1" customWidth="1"/>
    <col min="7" max="7" width="10.7109375" bestFit="1" customWidth="1"/>
    <col min="8" max="8" width="14.7109375" bestFit="1" customWidth="1"/>
    <col min="9" max="9" width="9.85546875" bestFit="1" customWidth="1"/>
    <col min="12" max="12" width="10.5703125" customWidth="1"/>
    <col min="13" max="13" width="10.28515625" bestFit="1" customWidth="1"/>
  </cols>
  <sheetData>
    <row r="1" spans="1:13" ht="27" customHeight="1">
      <c r="B1" s="32" t="s">
        <v>113</v>
      </c>
    </row>
    <row r="2" spans="1:13" ht="10.5" customHeight="1"/>
    <row r="3" spans="1:13" ht="15.75">
      <c r="A3" s="6" t="s">
        <v>42</v>
      </c>
      <c r="B3" s="6" t="s">
        <v>43</v>
      </c>
      <c r="C3" s="6" t="s">
        <v>11</v>
      </c>
      <c r="D3" s="6" t="s">
        <v>12</v>
      </c>
      <c r="E3" s="6" t="s">
        <v>44</v>
      </c>
      <c r="F3" s="6" t="s">
        <v>17</v>
      </c>
      <c r="G3" s="6" t="s">
        <v>46</v>
      </c>
      <c r="H3" s="6" t="s">
        <v>26</v>
      </c>
      <c r="I3" s="6" t="s">
        <v>31</v>
      </c>
      <c r="J3" s="6" t="s">
        <v>47</v>
      </c>
      <c r="K3" s="6" t="s">
        <v>48</v>
      </c>
      <c r="L3" s="6" t="s">
        <v>49</v>
      </c>
      <c r="M3" s="6" t="s">
        <v>50</v>
      </c>
    </row>
    <row r="4" spans="1:13">
      <c r="A4" s="4"/>
      <c r="B4" s="42">
        <v>46301</v>
      </c>
      <c r="C4" s="4" t="s">
        <v>0</v>
      </c>
      <c r="D4" s="1" t="s">
        <v>13</v>
      </c>
      <c r="E4" t="s">
        <v>45</v>
      </c>
      <c r="F4" t="s">
        <v>24</v>
      </c>
      <c r="H4" t="s">
        <v>27</v>
      </c>
      <c r="I4" t="s">
        <v>32</v>
      </c>
    </row>
    <row r="5" spans="1:13">
      <c r="A5" s="4"/>
      <c r="B5" s="42">
        <v>46301</v>
      </c>
      <c r="C5" s="4" t="s">
        <v>0</v>
      </c>
      <c r="D5" s="33" t="s">
        <v>13</v>
      </c>
      <c r="E5" t="s">
        <v>114</v>
      </c>
    </row>
    <row r="6" spans="1:13">
      <c r="A6" s="4"/>
      <c r="B6" s="42">
        <v>46301</v>
      </c>
      <c r="C6" s="4" t="s">
        <v>0</v>
      </c>
      <c r="D6" s="1" t="s">
        <v>14</v>
      </c>
      <c r="E6" t="s">
        <v>115</v>
      </c>
    </row>
    <row r="7" spans="1:13">
      <c r="A7" s="4"/>
      <c r="B7" s="42">
        <v>46301</v>
      </c>
      <c r="C7" s="4" t="s">
        <v>0</v>
      </c>
      <c r="D7" s="1" t="s">
        <v>14</v>
      </c>
      <c r="E7" t="s">
        <v>116</v>
      </c>
    </row>
    <row r="8" spans="1:13">
      <c r="A8" s="4"/>
      <c r="B8" s="42">
        <v>46301</v>
      </c>
      <c r="C8" s="4" t="s">
        <v>0</v>
      </c>
      <c r="D8" s="1" t="s">
        <v>15</v>
      </c>
      <c r="E8" t="s">
        <v>117</v>
      </c>
    </row>
    <row r="9" spans="1:13">
      <c r="A9" s="4"/>
      <c r="B9" s="4"/>
      <c r="C9" s="4"/>
      <c r="D9" s="1"/>
    </row>
    <row r="10" spans="1:13">
      <c r="A10" s="4"/>
      <c r="B10" s="4"/>
      <c r="C10" s="4"/>
      <c r="D10" s="1"/>
    </row>
    <row r="11" spans="1:13">
      <c r="A11" s="4"/>
      <c r="B11" s="4"/>
      <c r="C11" s="4"/>
      <c r="D11" s="1"/>
    </row>
    <row r="12" spans="1:13">
      <c r="A12" s="4"/>
      <c r="B12" s="4"/>
      <c r="C12" s="4"/>
      <c r="D12" s="1"/>
    </row>
    <row r="13" spans="1:13">
      <c r="A13" s="4"/>
      <c r="B13" s="4"/>
      <c r="C13" s="4"/>
      <c r="D13" s="1"/>
    </row>
    <row r="14" spans="1:13">
      <c r="A14" s="4"/>
      <c r="B14" s="4"/>
      <c r="C14" s="4"/>
      <c r="D14" s="1"/>
    </row>
    <row r="15" spans="1:13">
      <c r="A15" s="4"/>
      <c r="B15" s="4"/>
      <c r="C15" s="4"/>
      <c r="D15" s="43"/>
    </row>
    <row r="16" spans="1:13">
      <c r="A16" s="4"/>
      <c r="B16" s="4"/>
      <c r="C16" s="4"/>
      <c r="D16" s="43"/>
    </row>
  </sheetData>
  <conditionalFormatting sqref="H4:H300">
    <cfRule type="cellIs" dxfId="3" priority="1" operator="equal">
      <formula>"❌ Failed"</formula>
    </cfRule>
    <cfRule type="cellIs" dxfId="2" priority="2" operator="equal">
      <formula>"⬜ Not Started"</formula>
    </cfRule>
    <cfRule type="cellIs" dxfId="1" priority="3" operator="equal">
      <formula>"⏳ In Progress"</formula>
    </cfRule>
    <cfRule type="cellIs" dxfId="0" priority="4" operator="equal">
      <formula>"✅ 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B94D5B2-4F7B-427D-BF8F-4CC6068327A1}">
          <x14:formula1>
            <xm:f>Settings!$A$4:$A$14</xm:f>
          </x14:formula1>
          <xm:sqref>C4:C302</xm:sqref>
        </x14:dataValidation>
        <x14:dataValidation type="list" allowBlank="1" showInputMessage="1" showErrorMessage="1" xr:uid="{6FA34440-7CE5-461C-8FCC-FA57AFAB1728}">
          <x14:formula1>
            <xm:f>Settings!$B$4:$B$7</xm:f>
          </x14:formula1>
          <xm:sqref>D4:D302</xm:sqref>
        </x14:dataValidation>
        <x14:dataValidation type="list" allowBlank="1" showInputMessage="1" showErrorMessage="1" xr:uid="{1109A8AE-2FBD-4B70-8D3E-33E8D02A626C}">
          <x14:formula1>
            <xm:f>Settings!$C$4:$C$11</xm:f>
          </x14:formula1>
          <xm:sqref>F4:F302</xm:sqref>
        </x14:dataValidation>
        <x14:dataValidation type="list" allowBlank="1" showInputMessage="1" showErrorMessage="1" xr:uid="{7572C1FD-74BC-46CC-A6DD-14B9EC54B705}">
          <x14:formula1>
            <xm:f>Settings!$D$4:$D$7</xm:f>
          </x14:formula1>
          <xm:sqref>H4:H302</xm:sqref>
        </x14:dataValidation>
        <x14:dataValidation type="list" allowBlank="1" showInputMessage="1" showErrorMessage="1" xr:uid="{DC4C3387-C2D5-4E6A-8F2D-5E6750C7D34F}">
          <x14:formula1>
            <xm:f>Settings!$E$4:$E$6</xm:f>
          </x14:formula1>
          <xm:sqref>I4:I302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2AEE-BA94-43D2-9B90-E780A9A9C5E1}">
  <dimension ref="A1:E13"/>
  <sheetViews>
    <sheetView workbookViewId="0">
      <selection activeCell="I8" sqref="I8"/>
    </sheetView>
  </sheetViews>
  <sheetFormatPr defaultRowHeight="15"/>
  <cols>
    <col min="1" max="1" width="17.28515625" customWidth="1"/>
    <col min="4" max="4" width="11.7109375" customWidth="1"/>
  </cols>
  <sheetData>
    <row r="1" spans="1:5" ht="18.75" thickBot="1">
      <c r="A1" s="32" t="s">
        <v>107</v>
      </c>
    </row>
    <row r="2" spans="1:5" s="36" customFormat="1" ht="15.75">
      <c r="A2" s="14" t="s">
        <v>11</v>
      </c>
      <c r="B2" s="41" t="s">
        <v>56</v>
      </c>
      <c r="C2" s="41" t="s">
        <v>62</v>
      </c>
      <c r="D2" s="41" t="s">
        <v>106</v>
      </c>
      <c r="E2" s="15" t="s">
        <v>76</v>
      </c>
    </row>
    <row r="3" spans="1:5" ht="15.75">
      <c r="A3" s="37" t="s">
        <v>0</v>
      </c>
      <c r="B3" s="38">
        <f>COUNTIF(Problems!C:C,A3)</f>
        <v>5</v>
      </c>
      <c r="C3" s="38">
        <f>COUNTIFS(Problems!C:C,A3,Problems!H:H,"✅ Done")</f>
        <v>0</v>
      </c>
      <c r="D3" s="21">
        <f>IF(B3=0,0,C3/B3)</f>
        <v>0</v>
      </c>
      <c r="E3" s="11">
        <f>SUMIF(Problems!C:C,A3,Problems!G:G)</f>
        <v>0</v>
      </c>
    </row>
    <row r="4" spans="1:5" ht="15.75">
      <c r="A4" s="37" t="s">
        <v>1</v>
      </c>
      <c r="B4" s="38">
        <f>COUNTIF(Problems!C:C,A4)</f>
        <v>0</v>
      </c>
      <c r="C4" s="38">
        <f>COUNTIFS(Problems!C:C,A4,Problems!H:H,"✅ Done")</f>
        <v>0</v>
      </c>
      <c r="D4" s="21">
        <f>IF(B4=0,0,C4/B4)</f>
        <v>0</v>
      </c>
      <c r="E4" s="11">
        <f>SUMIF(Problems!C:C,A4,Problems!G:G)</f>
        <v>0</v>
      </c>
    </row>
    <row r="5" spans="1:5" ht="15.75">
      <c r="A5" s="37" t="s">
        <v>2</v>
      </c>
      <c r="B5" s="38">
        <f>COUNTIF(Problems!C:C,A5)</f>
        <v>0</v>
      </c>
      <c r="C5" s="38">
        <f>COUNTIFS(Problems!C:C,A5,Problems!H:H,"✅ Done")</f>
        <v>0</v>
      </c>
      <c r="D5" s="21">
        <f t="shared" ref="D5:D13" si="0">IF(B5=0,0,C5/B5)</f>
        <v>0</v>
      </c>
      <c r="E5" s="11">
        <f>SUMIF(Problems!C:C,A5,Problems!G:G)</f>
        <v>0</v>
      </c>
    </row>
    <row r="6" spans="1:5" ht="15.75">
      <c r="A6" s="37" t="s">
        <v>3</v>
      </c>
      <c r="B6" s="38">
        <f>COUNTIF(Problems!C:C,A6)</f>
        <v>0</v>
      </c>
      <c r="C6" s="38">
        <f>COUNTIFS(Problems!C:C,A6,Problems!H:H,"✅ Done")</f>
        <v>0</v>
      </c>
      <c r="D6" s="21">
        <f t="shared" si="0"/>
        <v>0</v>
      </c>
      <c r="E6" s="11">
        <f>SUMIF(Problems!C:C,A6,Problems!G:G)</f>
        <v>0</v>
      </c>
    </row>
    <row r="7" spans="1:5" ht="15.75">
      <c r="A7" s="37" t="s">
        <v>4</v>
      </c>
      <c r="B7" s="38">
        <f>COUNTIF(Problems!C:C,A7)</f>
        <v>0</v>
      </c>
      <c r="C7" s="38">
        <f>COUNTIFS(Problems!C:C,A7,Problems!H:H,"✅ Done")</f>
        <v>0</v>
      </c>
      <c r="D7" s="21">
        <f t="shared" si="0"/>
        <v>0</v>
      </c>
      <c r="E7" s="11">
        <f>SUMIF(Problems!C:C,A7,Problems!G:G)</f>
        <v>0</v>
      </c>
    </row>
    <row r="8" spans="1:5" ht="15.75">
      <c r="A8" s="37" t="s">
        <v>5</v>
      </c>
      <c r="B8" s="38">
        <f>COUNTIF(Problems!C:C,A8)</f>
        <v>0</v>
      </c>
      <c r="C8" s="38">
        <f>COUNTIFS(Problems!C:C,A8,Problems!H:H,"✅ Done")</f>
        <v>0</v>
      </c>
      <c r="D8" s="21">
        <f t="shared" si="0"/>
        <v>0</v>
      </c>
      <c r="E8" s="11">
        <f>SUMIF(Problems!C:C,A8,Problems!G:G)</f>
        <v>0</v>
      </c>
    </row>
    <row r="9" spans="1:5" ht="15.75">
      <c r="A9" s="37" t="s">
        <v>6</v>
      </c>
      <c r="B9" s="38">
        <f>COUNTIF(Problems!C:C,A9)</f>
        <v>0</v>
      </c>
      <c r="C9" s="38">
        <f>COUNTIFS(Problems!C:C,A9,Problems!H:H,"✅ Done")</f>
        <v>0</v>
      </c>
      <c r="D9" s="21">
        <f t="shared" si="0"/>
        <v>0</v>
      </c>
      <c r="E9" s="11">
        <f>SUMIF(Problems!C:C,A9,Problems!G:G)</f>
        <v>0</v>
      </c>
    </row>
    <row r="10" spans="1:5" ht="15.75">
      <c r="A10" s="37" t="s">
        <v>7</v>
      </c>
      <c r="B10" s="38">
        <f>COUNTIF(Problems!C:C,A10)</f>
        <v>0</v>
      </c>
      <c r="C10" s="38">
        <f>COUNTIFS(Problems!C:C,A10,Problems!H:H,"✅ Done")</f>
        <v>0</v>
      </c>
      <c r="D10" s="21">
        <f t="shared" si="0"/>
        <v>0</v>
      </c>
      <c r="E10" s="11">
        <f>SUMIF(Problems!C:C,A10,Problems!G:G)</f>
        <v>0</v>
      </c>
    </row>
    <row r="11" spans="1:5" ht="15.75">
      <c r="A11" s="37" t="s">
        <v>8</v>
      </c>
      <c r="B11" s="38">
        <f>COUNTIF(Problems!C:C,A11)</f>
        <v>0</v>
      </c>
      <c r="C11" s="38">
        <f>COUNTIFS(Problems!C:C,A11,Problems!H:H,"✅ Done")</f>
        <v>0</v>
      </c>
      <c r="D11" s="21">
        <f t="shared" si="0"/>
        <v>0</v>
      </c>
      <c r="E11" s="11">
        <f>SUMIF(Problems!C:C,A11,Problems!G:G)</f>
        <v>0</v>
      </c>
    </row>
    <row r="12" spans="1:5" ht="15.75">
      <c r="A12" s="37" t="s">
        <v>9</v>
      </c>
      <c r="B12" s="38">
        <f>COUNTIF(Problems!C:C,A12)</f>
        <v>0</v>
      </c>
      <c r="C12" s="38">
        <f>COUNTIFS(Problems!C:C,A12,Problems!H:H,"✅ Done")</f>
        <v>0</v>
      </c>
      <c r="D12" s="21">
        <f t="shared" si="0"/>
        <v>0</v>
      </c>
      <c r="E12" s="11">
        <f>SUMIF(Problems!C:C,A12,Problems!G:G)</f>
        <v>0</v>
      </c>
    </row>
    <row r="13" spans="1:5" ht="16.5" thickBot="1">
      <c r="A13" s="39" t="s">
        <v>10</v>
      </c>
      <c r="B13" s="40">
        <f>COUNTIF(Problems!C:C,A13)</f>
        <v>0</v>
      </c>
      <c r="C13" s="40">
        <f>COUNTIFS(Problems!C:C,A13,Problems!H:H,"✅ Done")</f>
        <v>0</v>
      </c>
      <c r="D13" s="22">
        <f t="shared" si="0"/>
        <v>0</v>
      </c>
      <c r="E13" s="13">
        <f>SUMIF(Problems!C:C,A13,Problems!G:G)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2A49-1791-4439-B285-B5F4BFDBACFC}">
  <dimension ref="A1:B24"/>
  <sheetViews>
    <sheetView workbookViewId="0">
      <selection activeCell="E8" sqref="E8"/>
    </sheetView>
  </sheetViews>
  <sheetFormatPr defaultRowHeight="15"/>
  <cols>
    <col min="1" max="1" width="26.42578125" bestFit="1" customWidth="1"/>
    <col min="2" max="2" width="15.42578125" bestFit="1" customWidth="1"/>
    <col min="7" max="7" width="10.42578125" customWidth="1"/>
  </cols>
  <sheetData>
    <row r="1" spans="1:2" ht="26.25" customHeight="1">
      <c r="A1" s="32" t="s">
        <v>109</v>
      </c>
    </row>
    <row r="2" spans="1:2">
      <c r="A2" s="1" t="s">
        <v>43</v>
      </c>
      <c r="B2" s="33">
        <v>46300</v>
      </c>
    </row>
    <row r="3" spans="1:2">
      <c r="A3" s="1" t="s">
        <v>78</v>
      </c>
      <c r="B3" s="1" t="s">
        <v>79</v>
      </c>
    </row>
    <row r="4" spans="1:2">
      <c r="A4" s="1" t="s">
        <v>80</v>
      </c>
      <c r="B4" s="1" t="s">
        <v>81</v>
      </c>
    </row>
    <row r="5" spans="1:2">
      <c r="A5" s="1" t="s">
        <v>82</v>
      </c>
      <c r="B5" s="1" t="s">
        <v>83</v>
      </c>
    </row>
    <row r="6" spans="1:2">
      <c r="A6" s="1" t="s">
        <v>84</v>
      </c>
      <c r="B6" s="1" t="s">
        <v>85</v>
      </c>
    </row>
    <row r="10" spans="1:2">
      <c r="A10" t="s">
        <v>86</v>
      </c>
    </row>
    <row r="11" spans="1:2">
      <c r="A11" t="s">
        <v>96</v>
      </c>
    </row>
    <row r="13" spans="1:2">
      <c r="A13" t="s">
        <v>87</v>
      </c>
    </row>
    <row r="14" spans="1:2">
      <c r="A14" t="s">
        <v>88</v>
      </c>
    </row>
    <row r="15" spans="1:2">
      <c r="A15" t="s">
        <v>89</v>
      </c>
    </row>
    <row r="17" spans="1:1">
      <c r="A17" t="s">
        <v>90</v>
      </c>
    </row>
    <row r="18" spans="1:1">
      <c r="A18" t="s">
        <v>94</v>
      </c>
    </row>
    <row r="20" spans="1:1">
      <c r="A20" t="s">
        <v>91</v>
      </c>
    </row>
    <row r="21" spans="1:1">
      <c r="A21" t="s">
        <v>95</v>
      </c>
    </row>
    <row r="23" spans="1:1">
      <c r="A23" t="s">
        <v>92</v>
      </c>
    </row>
    <row r="24" spans="1:1">
      <c r="A24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A812-2AC8-4CFE-A2CB-9748070C4304}">
  <dimension ref="A1:G11"/>
  <sheetViews>
    <sheetView workbookViewId="0">
      <selection activeCell="J7" sqref="J7"/>
    </sheetView>
  </sheetViews>
  <sheetFormatPr defaultRowHeight="15"/>
  <cols>
    <col min="3" max="3" width="10.28515625" bestFit="1" customWidth="1"/>
  </cols>
  <sheetData>
    <row r="1" spans="1:7" ht="24" customHeight="1">
      <c r="A1" s="32" t="s">
        <v>108</v>
      </c>
    </row>
    <row r="2" spans="1:7" s="36" customFormat="1" ht="15.75">
      <c r="A2" s="35" t="s">
        <v>43</v>
      </c>
      <c r="B2" s="35" t="s">
        <v>11</v>
      </c>
      <c r="C2" s="35" t="s">
        <v>82</v>
      </c>
      <c r="D2" s="35" t="s">
        <v>98</v>
      </c>
      <c r="E2" s="35" t="s">
        <v>100</v>
      </c>
      <c r="F2" s="35" t="s">
        <v>102</v>
      </c>
      <c r="G2" s="35" t="s">
        <v>26</v>
      </c>
    </row>
    <row r="3" spans="1:7">
      <c r="A3" s="4"/>
      <c r="B3" s="4"/>
    </row>
    <row r="4" spans="1:7">
      <c r="A4" s="4"/>
      <c r="B4" s="4"/>
      <c r="C4" s="5"/>
    </row>
    <row r="5" spans="1:7">
      <c r="A5" s="4"/>
      <c r="B5" s="4"/>
      <c r="C5" s="4"/>
    </row>
    <row r="6" spans="1:7">
      <c r="A6" s="4"/>
      <c r="B6" s="4"/>
      <c r="C6" s="4"/>
    </row>
    <row r="7" spans="1:7">
      <c r="A7" s="4"/>
      <c r="B7" s="4"/>
      <c r="C7" s="4"/>
    </row>
    <row r="8" spans="1:7">
      <c r="A8" s="4"/>
      <c r="B8" s="4"/>
      <c r="C8" s="4"/>
    </row>
    <row r="9" spans="1:7">
      <c r="A9" s="4"/>
      <c r="B9" s="4"/>
      <c r="C9" s="4"/>
    </row>
    <row r="10" spans="1:7">
      <c r="A10" t="s">
        <v>105</v>
      </c>
      <c r="C10" s="4"/>
    </row>
    <row r="11" spans="1:7" ht="45">
      <c r="A11" s="5">
        <v>46300</v>
      </c>
      <c r="B11" s="4" t="s">
        <v>3</v>
      </c>
      <c r="C11" s="4" t="s">
        <v>97</v>
      </c>
      <c r="D11" s="4" t="s">
        <v>99</v>
      </c>
      <c r="E11" s="4" t="s">
        <v>101</v>
      </c>
      <c r="F11" s="4" t="s">
        <v>103</v>
      </c>
      <c r="G11" s="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3A8A-30E8-46FE-8BA4-27AD2D2A812C}">
  <dimension ref="A1:F14"/>
  <sheetViews>
    <sheetView workbookViewId="0">
      <selection activeCell="B5" sqref="B5"/>
    </sheetView>
  </sheetViews>
  <sheetFormatPr defaultRowHeight="15"/>
  <cols>
    <col min="2" max="2" width="12" bestFit="1" customWidth="1"/>
    <col min="3" max="3" width="14" bestFit="1" customWidth="1"/>
    <col min="4" max="4" width="13.7109375" bestFit="1" customWidth="1"/>
    <col min="6" max="6" width="9.28515625" customWidth="1"/>
  </cols>
  <sheetData>
    <row r="1" spans="1:6" ht="25.5" customHeight="1">
      <c r="B1" s="32" t="s">
        <v>112</v>
      </c>
    </row>
    <row r="3" spans="1:6">
      <c r="A3" s="3" t="s">
        <v>11</v>
      </c>
      <c r="B3" s="3" t="s">
        <v>12</v>
      </c>
      <c r="C3" s="3" t="s">
        <v>17</v>
      </c>
      <c r="D3" s="3" t="s">
        <v>26</v>
      </c>
      <c r="E3" s="3" t="s">
        <v>31</v>
      </c>
      <c r="F3" s="3" t="s">
        <v>35</v>
      </c>
    </row>
    <row r="4" spans="1:6">
      <c r="A4" s="2" t="s">
        <v>0</v>
      </c>
      <c r="B4" s="2" t="s">
        <v>13</v>
      </c>
      <c r="C4" s="2" t="s">
        <v>18</v>
      </c>
      <c r="D4" s="2" t="s">
        <v>27</v>
      </c>
      <c r="E4" s="2" t="s">
        <v>32</v>
      </c>
      <c r="F4" s="2" t="s">
        <v>36</v>
      </c>
    </row>
    <row r="5" spans="1:6">
      <c r="A5" s="2" t="s">
        <v>1</v>
      </c>
      <c r="B5" s="2" t="s">
        <v>14</v>
      </c>
      <c r="C5" s="2" t="s">
        <v>19</v>
      </c>
      <c r="D5" s="2" t="s">
        <v>28</v>
      </c>
      <c r="E5" s="2" t="s">
        <v>33</v>
      </c>
      <c r="F5" s="2" t="s">
        <v>37</v>
      </c>
    </row>
    <row r="6" spans="1:6">
      <c r="A6" s="2" t="s">
        <v>2</v>
      </c>
      <c r="B6" s="2" t="s">
        <v>15</v>
      </c>
      <c r="C6" s="2" t="s">
        <v>20</v>
      </c>
      <c r="D6" s="2" t="s">
        <v>29</v>
      </c>
      <c r="E6" s="2" t="s">
        <v>34</v>
      </c>
      <c r="F6" s="2" t="s">
        <v>38</v>
      </c>
    </row>
    <row r="7" spans="1:6">
      <c r="A7" s="2" t="s">
        <v>3</v>
      </c>
      <c r="B7" s="2" t="s">
        <v>16</v>
      </c>
      <c r="C7" s="2" t="s">
        <v>21</v>
      </c>
      <c r="D7" s="2" t="s">
        <v>30</v>
      </c>
      <c r="F7" s="2" t="s">
        <v>39</v>
      </c>
    </row>
    <row r="8" spans="1:6">
      <c r="A8" s="2" t="s">
        <v>4</v>
      </c>
      <c r="C8" s="2" t="s">
        <v>22</v>
      </c>
      <c r="F8" s="2" t="s">
        <v>40</v>
      </c>
    </row>
    <row r="9" spans="1:6">
      <c r="A9" s="2" t="s">
        <v>5</v>
      </c>
      <c r="C9" s="2" t="s">
        <v>23</v>
      </c>
      <c r="F9" s="2" t="s">
        <v>41</v>
      </c>
    </row>
    <row r="10" spans="1:6">
      <c r="A10" s="2" t="s">
        <v>6</v>
      </c>
      <c r="C10" s="2" t="s">
        <v>24</v>
      </c>
    </row>
    <row r="11" spans="1:6">
      <c r="A11" s="2" t="s">
        <v>7</v>
      </c>
      <c r="C11" s="2" t="s">
        <v>25</v>
      </c>
    </row>
    <row r="12" spans="1:6">
      <c r="A12" s="2" t="s">
        <v>8</v>
      </c>
    </row>
    <row r="13" spans="1:6">
      <c r="A13" s="2" t="s">
        <v>9</v>
      </c>
    </row>
    <row r="14" spans="1:6">
      <c r="A14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Practice_Log</vt:lpstr>
      <vt:lpstr>Problems</vt:lpstr>
      <vt:lpstr>Topics</vt:lpstr>
      <vt:lpstr>Journal</vt:lpstr>
      <vt:lpstr>Challenges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2026-10-06T18:17:17Z</dcterms:modified>
</cp:coreProperties>
</file>