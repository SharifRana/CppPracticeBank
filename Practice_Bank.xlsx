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1"/>
  <workbookPr filterPrivacy="1" hidePivotFieldList="1"/>
  <xr:revisionPtr revIDLastSave="0" documentId="13_ncr:1_{11D67EBA-A5C8-4E6E-B55C-C84B31D34465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Dashboard" sheetId="4" r:id="rId1"/>
    <sheet name="Practice_Log" sheetId="3" r:id="rId2"/>
    <sheet name="Problems" sheetId="1" r:id="rId3"/>
    <sheet name="Topics" sheetId="7" r:id="rId4"/>
    <sheet name="Journal" sheetId="5" r:id="rId5"/>
    <sheet name="Challenges" sheetId="6" r:id="rId6"/>
    <sheet name="Settings" sheetId="2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4" l="1"/>
  <c r="D17" i="4" l="1"/>
  <c r="D18" i="4"/>
  <c r="D19" i="4"/>
  <c r="D20" i="4"/>
  <c r="D21" i="4"/>
  <c r="D22" i="4"/>
  <c r="D23" i="4"/>
  <c r="D24" i="4"/>
  <c r="D25" i="4"/>
  <c r="D26" i="4"/>
  <c r="E17" i="4"/>
  <c r="E18" i="4"/>
  <c r="E19" i="4"/>
  <c r="E20" i="4"/>
  <c r="E21" i="4"/>
  <c r="E22" i="4"/>
  <c r="E23" i="4"/>
  <c r="E24" i="4"/>
  <c r="E25" i="4"/>
  <c r="E26" i="4"/>
  <c r="D16" i="4"/>
  <c r="C25" i="4"/>
  <c r="C26" i="4"/>
  <c r="C17" i="4"/>
  <c r="C18" i="4"/>
  <c r="C19" i="4"/>
  <c r="C20" i="4"/>
  <c r="C21" i="4"/>
  <c r="C22" i="4"/>
  <c r="C23" i="4"/>
  <c r="C24" i="4"/>
  <c r="C16" i="4"/>
  <c r="B13" i="7" l="1"/>
  <c r="D13" i="7" s="1"/>
  <c r="B5" i="7"/>
  <c r="C5" i="7"/>
  <c r="E5" i="7"/>
  <c r="B6" i="7"/>
  <c r="D6" i="7" s="1"/>
  <c r="C6" i="7"/>
  <c r="E6" i="7"/>
  <c r="B7" i="7"/>
  <c r="D7" i="7" s="1"/>
  <c r="C7" i="7"/>
  <c r="E7" i="7"/>
  <c r="B8" i="7"/>
  <c r="D8" i="7" s="1"/>
  <c r="C8" i="7"/>
  <c r="E8" i="7"/>
  <c r="B9" i="7"/>
  <c r="D9" i="7" s="1"/>
  <c r="C9" i="7"/>
  <c r="E9" i="7"/>
  <c r="B10" i="7"/>
  <c r="D10" i="7" s="1"/>
  <c r="C10" i="7"/>
  <c r="E10" i="7"/>
  <c r="B11" i="7"/>
  <c r="D11" i="7" s="1"/>
  <c r="C11" i="7"/>
  <c r="E11" i="7"/>
  <c r="B12" i="7"/>
  <c r="D12" i="7" s="1"/>
  <c r="C12" i="7"/>
  <c r="E12" i="7"/>
  <c r="C13" i="7"/>
  <c r="E13" i="7"/>
  <c r="B4" i="7"/>
  <c r="C4" i="7"/>
  <c r="D4" i="7" s="1"/>
  <c r="E4" i="7"/>
  <c r="E3" i="7"/>
  <c r="C3" i="7"/>
  <c r="B3" i="7"/>
  <c r="E7" i="4"/>
  <c r="E6" i="4"/>
  <c r="E5" i="4"/>
  <c r="E4" i="4"/>
  <c r="C12" i="4"/>
  <c r="C11" i="4"/>
  <c r="C10" i="4"/>
  <c r="C9" i="4"/>
  <c r="C8" i="4"/>
  <c r="C7" i="4"/>
  <c r="C6" i="4"/>
  <c r="C5" i="4"/>
  <c r="C4" i="4"/>
  <c r="G4" i="3"/>
  <c r="B4" i="3"/>
  <c r="D5" i="7" l="1"/>
  <c r="D3" i="7"/>
</calcChain>
</file>

<file path=xl/sharedStrings.xml><?xml version="1.0" encoding="utf-8"?>
<sst xmlns="http://schemas.openxmlformats.org/spreadsheetml/2006/main" count="198" uniqueCount="123">
  <si>
    <t>Basics</t>
  </si>
  <si>
    <t>Operators</t>
  </si>
  <si>
    <t>Conditions</t>
  </si>
  <si>
    <t>Loops</t>
  </si>
  <si>
    <t>Arrays</t>
  </si>
  <si>
    <t>Strings</t>
  </si>
  <si>
    <t>Functions</t>
  </si>
  <si>
    <t>Pointers</t>
  </si>
  <si>
    <t>OOP</t>
  </si>
  <si>
    <t>STL</t>
  </si>
  <si>
    <t>DSA</t>
  </si>
  <si>
    <t>Topic</t>
  </si>
  <si>
    <t>Level</t>
  </si>
  <si>
    <t>L1 (Copy)</t>
  </si>
  <si>
    <t>L2 (Modify)</t>
  </si>
  <si>
    <t>L3 (Combine)</t>
  </si>
  <si>
    <t>L4 (Create)</t>
  </si>
  <si>
    <t>Source</t>
  </si>
  <si>
    <t>Book</t>
  </si>
  <si>
    <t>HackerRank</t>
  </si>
  <si>
    <t>LeetCode</t>
  </si>
  <si>
    <t>Toph</t>
  </si>
  <si>
    <t>GeeksforGeeks</t>
  </si>
  <si>
    <t>YouTube</t>
  </si>
  <si>
    <t>Self</t>
  </si>
  <si>
    <t>DeepSeek</t>
  </si>
  <si>
    <t>Status</t>
  </si>
  <si>
    <t>⬜ Not Started</t>
  </si>
  <si>
    <t>⏳ In Progress</t>
  </si>
  <si>
    <t>✅ Done</t>
  </si>
  <si>
    <t>❌ Failed</t>
  </si>
  <si>
    <t>Difficulty</t>
  </si>
  <si>
    <t>Easy</t>
  </si>
  <si>
    <t>Medium</t>
  </si>
  <si>
    <t>Hard</t>
  </si>
  <si>
    <t>Phase</t>
  </si>
  <si>
    <t>Phase 1</t>
  </si>
  <si>
    <t>Phase 2</t>
  </si>
  <si>
    <t>Phase 3</t>
  </si>
  <si>
    <t>Phase 4</t>
  </si>
  <si>
    <t>Phase 5</t>
  </si>
  <si>
    <t>Phase 6</t>
  </si>
  <si>
    <t>ID</t>
  </si>
  <si>
    <t>Date</t>
  </si>
  <si>
    <t>Program_Name</t>
  </si>
  <si>
    <t>Time_Min</t>
  </si>
  <si>
    <t>Notes</t>
  </si>
  <si>
    <t>GitHub</t>
  </si>
  <si>
    <t>Review_1</t>
  </si>
  <si>
    <t>Review_2</t>
  </si>
  <si>
    <t>Day</t>
  </si>
  <si>
    <t>L1_Count</t>
  </si>
  <si>
    <t>L2_Count</t>
  </si>
  <si>
    <t>L3_Count</t>
  </si>
  <si>
    <t>L4_Count</t>
  </si>
  <si>
    <t>Total</t>
  </si>
  <si>
    <t>Mood</t>
  </si>
  <si>
    <t>KPI সেকশন:</t>
  </si>
  <si>
    <t>বিষয়</t>
  </si>
  <si>
    <t>আজকের তারিখ</t>
  </si>
  <si>
    <t>মোট প্রোগ্রাম</t>
  </si>
  <si>
    <t>Done</t>
  </si>
  <si>
    <t>In Progress</t>
  </si>
  <si>
    <t>Not Started</t>
  </si>
  <si>
    <t>মোট সময় (ঘন্টা)</t>
  </si>
  <si>
    <t>আজকের প্রোগ্রাম</t>
  </si>
  <si>
    <t>সাপ্তাহিক Avg</t>
  </si>
  <si>
    <t>সাকসেস Rate</t>
  </si>
  <si>
    <t>Level ভিত্তিক:</t>
  </si>
  <si>
    <t>L1 Count</t>
  </si>
  <si>
    <t>L2 Count</t>
  </si>
  <si>
    <t>L3 Count</t>
  </si>
  <si>
    <t>L4 Count</t>
  </si>
  <si>
    <t>Topic ভিত্তিক (Table):</t>
  </si>
  <si>
    <t>Count</t>
  </si>
  <si>
    <t>Time</t>
  </si>
  <si>
    <t>Done %</t>
  </si>
  <si>
    <t>Programs</t>
  </si>
  <si>
    <t>1. Hello World...</t>
  </si>
  <si>
    <t>Learned</t>
  </si>
  <si>
    <t>cout basics</t>
  </si>
  <si>
    <t>Challenge</t>
  </si>
  <si>
    <t>Semicolon</t>
  </si>
  <si>
    <t>Tomorrow</t>
  </si>
  <si>
    <t>5 programs</t>
  </si>
  <si>
    <t>তারিখ: 05-Oct-2026</t>
  </si>
  <si>
    <t>আজকের প্রোগ্রাম:</t>
  </si>
  <si>
    <t>১. Hello World (L1) - ৫ মিনিট</t>
  </si>
  <si>
    <t>২. Bio Data (L2) - ১০ মিনিট</t>
  </si>
  <si>
    <t>শিখলাম:</t>
  </si>
  <si>
    <t>চ্যালেঞ্জ:</t>
  </si>
  <si>
    <t>কালকের লক্ষ্য:</t>
  </si>
  <si>
    <t>- ৫টি প্রোগ্রাম</t>
  </si>
  <si>
    <t>cout কীভাবে কাজ করে</t>
  </si>
  <si>
    <t>Semicolon ভুলে গিয়েছিলাম</t>
  </si>
  <si>
    <t>━━━━━━━━━━━━</t>
  </si>
  <si>
    <t>Nested loop কঠিন</t>
  </si>
  <si>
    <t>Attempt1</t>
  </si>
  <si>
    <t>৩০ মিনিট লড়লাম</t>
  </si>
  <si>
    <t>Solution</t>
  </si>
  <si>
    <t>Pattern ভেঙে বুঝলাম</t>
  </si>
  <si>
    <t>Learning</t>
  </si>
  <si>
    <t>ছোট করে ভাঙুন</t>
  </si>
  <si>
    <t>✅ Resolved</t>
  </si>
  <si>
    <t>Example:</t>
  </si>
  <si>
    <t>Progress</t>
  </si>
  <si>
    <t>শীট ৭: Topics (টপিক-ভিত্তিক অগ্রগতি)</t>
  </si>
  <si>
    <t>শীট ৬: Challenges (সমস্যা ও সমাধান)</t>
  </si>
  <si>
    <t>শীট ৫: Journal (দৈনিক নোট)</t>
  </si>
  <si>
    <t>শীট ৪: Dashboard (সারসংক্ষেপ)</t>
  </si>
  <si>
    <t>শীট ৩: Practice_Log (দৈনিক রেকর্ড)</t>
  </si>
  <si>
    <t>শীট ২: Settings (Dropdown-এর তালিকা)</t>
  </si>
  <si>
    <t>শীট ১: Problems (মূল শীট)</t>
  </si>
  <si>
    <t>Average 3</t>
  </si>
  <si>
    <t>A Complete Guide to Programming in C++</t>
  </si>
  <si>
    <t>Do</t>
  </si>
  <si>
    <t>01_Arithmetic</t>
  </si>
  <si>
    <t>Using with if else</t>
  </si>
  <si>
    <t>01_If_Basic</t>
  </si>
  <si>
    <t>01_Hello</t>
  </si>
  <si>
    <t>02_MyName</t>
  </si>
  <si>
    <t>03_BioData</t>
  </si>
  <si>
    <t>04_Sum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</si>
</sst>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2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applyAlignment="1">
      <alignment vertical="center" wrapText="1"/>
    </xf>
    <xf numFmtId="16" fontId="0" fillId="0" borderId="0" xfId="0" applyNumberFormat="1" applyAlignment="1">
      <alignment vertical="center" wrapText="1"/>
    </xf>
    <xf numFmtId="0" fontId="3" fillId="2" borderId="0" xfId="0" applyFont="1" applyFill="1" applyAlignment="1">
      <alignment vertical="center"/>
    </xf>
    <xf numFmtId="0" fontId="0" fillId="0" borderId="4" xfId="0" applyBorder="1"/>
    <xf numFmtId="0" fontId="0" fillId="0" borderId="6" xfId="0" applyBorder="1"/>
    <xf numFmtId="0" fontId="4" fillId="0" borderId="3" xfId="0" applyFont="1" applyBorder="1"/>
    <xf numFmtId="164" fontId="4" fillId="0" borderId="4" xfId="0" applyNumberFormat="1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4" fillId="0" borderId="0" xfId="0" applyFont="1" applyBorder="1"/>
    <xf numFmtId="0" fontId="4" fillId="0" borderId="8" xfId="0" applyFont="1" applyBorder="1"/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0" fontId="0" fillId="0" borderId="0" xfId="0" applyBorder="1"/>
    <xf numFmtId="0" fontId="2" fillId="0" borderId="5" xfId="0" applyFont="1" applyBorder="1" applyAlignment="1">
      <alignment vertical="center"/>
    </xf>
    <xf numFmtId="0" fontId="0" fillId="0" borderId="8" xfId="0" applyBorder="1"/>
    <xf numFmtId="0" fontId="5" fillId="0" borderId="0" xfId="0" applyFont="1" applyAlignment="1">
      <alignment vertical="center"/>
    </xf>
    <xf numFmtId="15" fontId="0" fillId="0" borderId="0" xfId="0" applyNumberFormat="1" applyAlignment="1">
      <alignment vertical="center"/>
    </xf>
    <xf numFmtId="0" fontId="0" fillId="0" borderId="0" xfId="0" applyAlignment="1"/>
    <xf numFmtId="0" fontId="4" fillId="0" borderId="0" xfId="0" applyFont="1" applyAlignment="1">
      <alignment vertical="center"/>
    </xf>
    <xf numFmtId="0" fontId="4" fillId="0" borderId="0" xfId="0" applyFont="1" applyAlignment="1"/>
    <xf numFmtId="0" fontId="6" fillId="0" borderId="3" xfId="0" applyFont="1" applyBorder="1" applyAlignment="1">
      <alignment vertical="center"/>
    </xf>
    <xf numFmtId="0" fontId="4" fillId="0" borderId="0" xfId="0" applyFont="1" applyBorder="1" applyAlignment="1">
      <alignment vertical="center" wrapText="1"/>
    </xf>
    <xf numFmtId="0" fontId="6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 wrapText="1"/>
    </xf>
    <xf numFmtId="0" fontId="3" fillId="2" borderId="7" xfId="0" applyFont="1" applyFill="1" applyBorder="1" applyAlignment="1">
      <alignment vertical="center"/>
    </xf>
    <xf numFmtId="164" fontId="0" fillId="0" borderId="0" xfId="0" applyNumberFormat="1" applyAlignment="1">
      <alignment vertical="center" wrapText="1"/>
    </xf>
    <xf numFmtId="16" fontId="0" fillId="0" borderId="0" xfId="0" applyNumberFormat="1" applyAlignment="1">
      <alignment vertical="center"/>
    </xf>
    <xf numFmtId="0" fontId="1" fillId="0" borderId="7" xfId="0" applyFont="1" applyBorder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4">
    <dxf>
      <font>
        <b/>
        <i val="0"/>
        <color rgb="FF00B050"/>
      </font>
    </dxf>
    <dxf>
      <font>
        <b/>
        <i val="0"/>
        <color rgb="FFFFFF00"/>
      </font>
    </dxf>
    <dxf>
      <font>
        <b/>
        <i val="0"/>
        <color theme="2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22304-8365-4517-8A30-7953C8AEF56D}">
  <dimension ref="B1:E26"/>
  <sheetViews>
    <sheetView tabSelected="1" topLeftCell="A10" workbookViewId="0">
      <selection activeCell="G19" sqref="G19"/>
    </sheetView>
  </sheetViews>
  <sheetFormatPr defaultRowHeight="15"/>
  <cols>
    <col min="2" max="2" width="17.42578125" bestFit="1" customWidth="1"/>
    <col min="3" max="3" width="14" bestFit="1" customWidth="1"/>
    <col min="4" max="4" width="9.140625" bestFit="1" customWidth="1"/>
    <col min="5" max="5" width="14.7109375" bestFit="1" customWidth="1"/>
    <col min="7" max="7" width="21" bestFit="1" customWidth="1"/>
  </cols>
  <sheetData>
    <row r="1" spans="2:5" ht="23.25" customHeight="1">
      <c r="B1" s="32" t="s">
        <v>109</v>
      </c>
    </row>
    <row r="2" spans="2:5" ht="15.75" thickBot="1"/>
    <row r="3" spans="2:5" s="18" customFormat="1" ht="20.25" customHeight="1">
      <c r="B3" s="16" t="s">
        <v>58</v>
      </c>
      <c r="C3" s="17" t="s">
        <v>57</v>
      </c>
      <c r="D3" s="19" t="s">
        <v>58</v>
      </c>
      <c r="E3" s="20" t="s">
        <v>68</v>
      </c>
    </row>
    <row r="4" spans="2:5" ht="15.75">
      <c r="B4" s="9" t="s">
        <v>59</v>
      </c>
      <c r="C4" s="10">
        <f ca="1">TODAY()</f>
        <v>46302</v>
      </c>
      <c r="D4" s="9" t="s">
        <v>69</v>
      </c>
      <c r="E4" s="21">
        <f>COUNTIF(Problems!D:D,"L1 (Copy)")</f>
        <v>2</v>
      </c>
    </row>
    <row r="5" spans="2:5" ht="15.75">
      <c r="B5" s="9" t="s">
        <v>60</v>
      </c>
      <c r="C5" s="11">
        <f>COUNTA(Problems!E:E)-1</f>
        <v>7</v>
      </c>
      <c r="D5" s="9" t="s">
        <v>70</v>
      </c>
      <c r="E5" s="21">
        <f>COUNTIF(Problems!D:D,"L2 (Modify)")</f>
        <v>4</v>
      </c>
    </row>
    <row r="6" spans="2:5" ht="15.75">
      <c r="B6" s="9" t="s">
        <v>61</v>
      </c>
      <c r="C6" s="11">
        <f>COUNTIF(Problems!H:H,"✅ Done")</f>
        <v>6</v>
      </c>
      <c r="D6" s="9" t="s">
        <v>71</v>
      </c>
      <c r="E6" s="21">
        <f>COUNTIF(Problems!D:D,"L3 (Combine)")</f>
        <v>1</v>
      </c>
    </row>
    <row r="7" spans="2:5" ht="16.5" thickBot="1">
      <c r="B7" s="9" t="s">
        <v>62</v>
      </c>
      <c r="C7" s="11">
        <f>COUNTIF(Problems!H:H, "⏳ In Progress")</f>
        <v>0</v>
      </c>
      <c r="D7" s="12" t="s">
        <v>72</v>
      </c>
      <c r="E7" s="22">
        <f>COUNTIF(Problems!D:D,"L4 (Create)")</f>
        <v>0</v>
      </c>
    </row>
    <row r="8" spans="2:5" ht="15.75">
      <c r="B8" s="9" t="s">
        <v>63</v>
      </c>
      <c r="C8" s="11">
        <f>COUNTIF(Problems!H:H, "⬜ Not Started")</f>
        <v>0</v>
      </c>
    </row>
    <row r="9" spans="2:5" ht="15.75">
      <c r="B9" s="9" t="s">
        <v>64</v>
      </c>
      <c r="C9" s="11">
        <f>SUM(Problems!G:G)/60</f>
        <v>1.3333333333333333</v>
      </c>
    </row>
    <row r="10" spans="2:5" ht="15.75">
      <c r="B10" s="9" t="s">
        <v>65</v>
      </c>
      <c r="C10" s="11">
        <f ca="1">COUNTIF(Problems!B:B,TODAY())</f>
        <v>0</v>
      </c>
    </row>
    <row r="11" spans="2:5" ht="15.75">
      <c r="B11" s="9" t="s">
        <v>66</v>
      </c>
      <c r="C11" s="11">
        <f ca="1">COUNTIFS(Problems!B:B,"&gt;="&amp;TODAY()-7,Problems!H:H,"✅ Done")/7</f>
        <v>0.8571428571428571</v>
      </c>
    </row>
    <row r="12" spans="2:5" ht="16.5" thickBot="1">
      <c r="B12" s="12" t="s">
        <v>67</v>
      </c>
      <c r="C12" s="13">
        <f>IFERROR(COUNTIF(Problems!H:H,"✅ Done")/COUNTA(Problems!E:E),0)</f>
        <v>0.75</v>
      </c>
    </row>
    <row r="13" spans="2:5" ht="15.75" thickBot="1"/>
    <row r="14" spans="2:5" ht="15.75">
      <c r="B14" s="16" t="s">
        <v>58</v>
      </c>
      <c r="C14" s="44" t="s">
        <v>73</v>
      </c>
      <c r="D14" s="23"/>
      <c r="E14" s="24"/>
    </row>
    <row r="15" spans="2:5">
      <c r="B15" s="25" t="s">
        <v>11</v>
      </c>
      <c r="C15" s="26" t="s">
        <v>74</v>
      </c>
      <c r="D15" s="26" t="s">
        <v>75</v>
      </c>
      <c r="E15" s="27" t="s">
        <v>76</v>
      </c>
    </row>
    <row r="16" spans="2:5">
      <c r="B16" s="28" t="s">
        <v>0</v>
      </c>
      <c r="C16" s="29">
        <f>COUNTIF(Problems!$C:$C,B16)</f>
        <v>5</v>
      </c>
      <c r="D16" s="29">
        <f>SUMIF(Problems!$C:$C,B16,Problems!$G:$G)</f>
        <v>40</v>
      </c>
      <c r="E16" s="7">
        <f>IFERROR(COUNTIFS(Problems!$C:$C,B16,Problems!$H:$H,"✅ Done")/COUNTIF(Problems!$C:$C,B16),0)</f>
        <v>0.8</v>
      </c>
    </row>
    <row r="17" spans="2:5">
      <c r="B17" s="28" t="s">
        <v>1</v>
      </c>
      <c r="C17" s="29">
        <f>COUNTIF(Problems!$C:$C,B17)</f>
        <v>1</v>
      </c>
      <c r="D17" s="29">
        <f>SUMIF(Problems!$C:$C,B17,Problems!$G:$G)</f>
        <v>25</v>
      </c>
      <c r="E17" s="7">
        <f>IFERROR(COUNTIFS(Problems!$C:$C,B17,Problems!$H:$H,"✅ Done")/COUNTIF(Problems!$C:$C,B17),0)</f>
        <v>1</v>
      </c>
    </row>
    <row r="18" spans="2:5">
      <c r="B18" s="28" t="s">
        <v>2</v>
      </c>
      <c r="C18" s="29">
        <f>COUNTIF(Problems!$C:$C,B18)</f>
        <v>1</v>
      </c>
      <c r="D18" s="29">
        <f>SUMIF(Problems!$C:$C,B18,Problems!$G:$G)</f>
        <v>15</v>
      </c>
      <c r="E18" s="7">
        <f>IFERROR(COUNTIFS(Problems!$C:$C,B18,Problems!$H:$H,"✅ Done")/COUNTIF(Problems!$C:$C,B18),0)</f>
        <v>1</v>
      </c>
    </row>
    <row r="19" spans="2:5">
      <c r="B19" s="28" t="s">
        <v>3</v>
      </c>
      <c r="C19" s="29">
        <f>COUNTIF(Problems!$C:$C,B19)</f>
        <v>0</v>
      </c>
      <c r="D19" s="29">
        <f>SUMIF(Problems!$C:$C,B19,Problems!$G:$G)</f>
        <v>0</v>
      </c>
      <c r="E19" s="7">
        <f>IFERROR(COUNTIFS(Problems!$C:$C,B19,Problems!$H:$H,"✅ Done")/COUNTIF(Problems!$C:$C,B19),0)</f>
        <v>0</v>
      </c>
    </row>
    <row r="20" spans="2:5">
      <c r="B20" s="28" t="s">
        <v>4</v>
      </c>
      <c r="C20" s="29">
        <f>COUNTIF(Problems!$C:$C,B20)</f>
        <v>0</v>
      </c>
      <c r="D20" s="29">
        <f>SUMIF(Problems!$C:$C,B20,Problems!$G:$G)</f>
        <v>0</v>
      </c>
      <c r="E20" s="7">
        <f>IFERROR(COUNTIFS(Problems!$C:$C,B20,Problems!$H:$H,"✅ Done")/COUNTIF(Problems!$C:$C,B20),0)</f>
        <v>0</v>
      </c>
    </row>
    <row r="21" spans="2:5">
      <c r="B21" s="28" t="s">
        <v>5</v>
      </c>
      <c r="C21" s="29">
        <f>COUNTIF(Problems!$C:$C,B21)</f>
        <v>0</v>
      </c>
      <c r="D21" s="29">
        <f>SUMIF(Problems!$C:$C,B21,Problems!$G:$G)</f>
        <v>0</v>
      </c>
      <c r="E21" s="7">
        <f>IFERROR(COUNTIFS(Problems!$C:$C,B21,Problems!$H:$H,"✅ Done")/COUNTIF(Problems!$C:$C,B21),0)</f>
        <v>0</v>
      </c>
    </row>
    <row r="22" spans="2:5">
      <c r="B22" s="28" t="s">
        <v>6</v>
      </c>
      <c r="C22" s="29">
        <f>COUNTIF(Problems!$C:$C,B22)</f>
        <v>0</v>
      </c>
      <c r="D22" s="29">
        <f>SUMIF(Problems!$C:$C,B22,Problems!$G:$G)</f>
        <v>0</v>
      </c>
      <c r="E22" s="7">
        <f>IFERROR(COUNTIFS(Problems!$C:$C,B22,Problems!$H:$H,"✅ Done")/COUNTIF(Problems!$C:$C,B22),0)</f>
        <v>0</v>
      </c>
    </row>
    <row r="23" spans="2:5">
      <c r="B23" s="28" t="s">
        <v>7</v>
      </c>
      <c r="C23" s="29">
        <f>COUNTIF(Problems!$C:$C,B23)</f>
        <v>0</v>
      </c>
      <c r="D23" s="29">
        <f>SUMIF(Problems!$C:$C,B23,Problems!$G:$G)</f>
        <v>0</v>
      </c>
      <c r="E23" s="7">
        <f>IFERROR(COUNTIFS(Problems!$C:$C,B23,Problems!$H:$H,"✅ Done")/COUNTIF(Problems!$C:$C,B23),0)</f>
        <v>0</v>
      </c>
    </row>
    <row r="24" spans="2:5">
      <c r="B24" s="28" t="s">
        <v>8</v>
      </c>
      <c r="C24" s="29">
        <f>COUNTIF(Problems!$C:$C,B24)</f>
        <v>0</v>
      </c>
      <c r="D24" s="29">
        <f>SUMIF(Problems!$C:$C,B24,Problems!$G:$G)</f>
        <v>0</v>
      </c>
      <c r="E24" s="7">
        <f>IFERROR(COUNTIFS(Problems!$C:$C,B24,Problems!$H:$H,"✅ Done")/COUNTIF(Problems!$C:$C,B24),0)</f>
        <v>0</v>
      </c>
    </row>
    <row r="25" spans="2:5">
      <c r="B25" s="28" t="s">
        <v>9</v>
      </c>
      <c r="C25" s="29">
        <f>COUNTIF(Problems!$C:$C,B25)</f>
        <v>0</v>
      </c>
      <c r="D25" s="29">
        <f>SUMIF(Problems!$C:$C,B25,Problems!$G:$G)</f>
        <v>0</v>
      </c>
      <c r="E25" s="7">
        <f>IFERROR(COUNTIFS(Problems!$C:$C,B25,Problems!$H:$H,"✅ Done")/COUNTIF(Problems!$C:$C,B25),0)</f>
        <v>0</v>
      </c>
    </row>
    <row r="26" spans="2:5" ht="15.75" thickBot="1">
      <c r="B26" s="30" t="s">
        <v>10</v>
      </c>
      <c r="C26" s="31">
        <f>COUNTIF(Problems!$C:$C,B26)</f>
        <v>0</v>
      </c>
      <c r="D26" s="31">
        <f>SUMIF(Problems!$C:$C,B26,Problems!$G:$G)</f>
        <v>0</v>
      </c>
      <c r="E26" s="8">
        <f>IFERROR(COUNTIFS(Problems!$C:$C,B26,Problems!$H:$H,"✅ Done")/COUNTIF(Problems!$C:$C,B26),0)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175F6-C32B-4A16-B92C-0C352068B40C}">
  <dimension ref="A1:J300"/>
  <sheetViews>
    <sheetView workbookViewId="0">
      <pane ySplit="3" topLeftCell="A4" activePane="bottomLeft" state="frozen"/>
      <selection pane="bottomLeft" activeCell="C4" sqref="C4"/>
    </sheetView>
  </sheetViews>
  <sheetFormatPr defaultRowHeight="15"/>
  <cols>
    <col min="1" max="1" width="9.7109375" bestFit="1" customWidth="1"/>
    <col min="3" max="6" width="10.140625" bestFit="1" customWidth="1"/>
    <col min="8" max="8" width="10.7109375" bestFit="1" customWidth="1"/>
  </cols>
  <sheetData>
    <row r="1" spans="1:10" ht="27" customHeight="1">
      <c r="B1" s="32" t="s">
        <v>110</v>
      </c>
    </row>
    <row r="3" spans="1:10" ht="15.75">
      <c r="A3" s="6" t="s">
        <v>43</v>
      </c>
      <c r="B3" s="6" t="s">
        <v>50</v>
      </c>
      <c r="C3" s="6" t="s">
        <v>51</v>
      </c>
      <c r="D3" s="6" t="s">
        <v>52</v>
      </c>
      <c r="E3" s="6" t="s">
        <v>53</v>
      </c>
      <c r="F3" s="6" t="s">
        <v>54</v>
      </c>
      <c r="G3" s="6" t="s">
        <v>55</v>
      </c>
      <c r="H3" s="6" t="s">
        <v>45</v>
      </c>
      <c r="I3" s="6" t="s">
        <v>56</v>
      </c>
      <c r="J3" s="6" t="s">
        <v>46</v>
      </c>
    </row>
    <row r="4" spans="1:10">
      <c r="A4" s="42">
        <v>46301</v>
      </c>
      <c r="B4" s="4" t="str">
        <f>TEXT(A4,"dddd")</f>
        <v>Tuesday</v>
      </c>
      <c r="C4" s="4"/>
      <c r="G4">
        <f>C4+D4+E4+F4</f>
        <v>0</v>
      </c>
    </row>
    <row r="5" spans="1:10">
      <c r="A5" s="42"/>
      <c r="B5" s="4"/>
      <c r="C5" s="4"/>
    </row>
    <row r="6" spans="1:10">
      <c r="A6" s="42"/>
      <c r="B6" s="4"/>
      <c r="C6" s="4"/>
    </row>
    <row r="7" spans="1:10">
      <c r="A7" s="42"/>
      <c r="B7" s="4"/>
      <c r="C7" s="4"/>
    </row>
    <row r="8" spans="1:10">
      <c r="A8" s="42"/>
      <c r="B8" s="4"/>
      <c r="C8" s="4"/>
    </row>
    <row r="9" spans="1:10">
      <c r="A9" s="42"/>
      <c r="B9" s="4"/>
      <c r="C9" s="4"/>
    </row>
    <row r="10" spans="1:10">
      <c r="A10" s="42"/>
      <c r="B10" s="4"/>
      <c r="C10" s="4"/>
    </row>
    <row r="11" spans="1:10">
      <c r="A11" s="42"/>
      <c r="B11" s="4"/>
      <c r="C11" s="4"/>
    </row>
    <row r="12" spans="1:10">
      <c r="A12" s="42"/>
      <c r="B12" s="4"/>
      <c r="C12" s="4"/>
    </row>
    <row r="13" spans="1:10">
      <c r="A13" s="42"/>
      <c r="B13" s="4"/>
      <c r="C13" s="4"/>
    </row>
    <row r="14" spans="1:10">
      <c r="A14" s="45"/>
    </row>
    <row r="15" spans="1:10">
      <c r="A15" s="45"/>
    </row>
    <row r="16" spans="1:10">
      <c r="A16" s="45"/>
    </row>
    <row r="17" spans="1:1">
      <c r="A17" s="45"/>
    </row>
    <row r="18" spans="1:1">
      <c r="A18" s="45"/>
    </row>
    <row r="19" spans="1:1">
      <c r="A19" s="45"/>
    </row>
    <row r="20" spans="1:1">
      <c r="A20" s="45"/>
    </row>
    <row r="21" spans="1:1">
      <c r="A21" s="45"/>
    </row>
    <row r="22" spans="1:1">
      <c r="A22" s="45"/>
    </row>
    <row r="23" spans="1:1">
      <c r="A23" s="45"/>
    </row>
    <row r="24" spans="1:1">
      <c r="A24" s="45"/>
    </row>
    <row r="25" spans="1:1">
      <c r="A25" s="45"/>
    </row>
    <row r="26" spans="1:1">
      <c r="A26" s="45"/>
    </row>
    <row r="27" spans="1:1">
      <c r="A27" s="45"/>
    </row>
    <row r="28" spans="1:1">
      <c r="A28" s="45"/>
    </row>
    <row r="29" spans="1:1">
      <c r="A29" s="45"/>
    </row>
    <row r="30" spans="1:1">
      <c r="A30" s="45"/>
    </row>
    <row r="31" spans="1:1">
      <c r="A31" s="45"/>
    </row>
    <row r="32" spans="1:1">
      <c r="A32" s="45"/>
    </row>
    <row r="33" spans="1:1">
      <c r="A33" s="45"/>
    </row>
    <row r="34" spans="1:1">
      <c r="A34" s="45"/>
    </row>
    <row r="35" spans="1:1">
      <c r="A35" s="45"/>
    </row>
    <row r="36" spans="1:1">
      <c r="A36" s="45"/>
    </row>
    <row r="37" spans="1:1">
      <c r="A37" s="45"/>
    </row>
    <row r="38" spans="1:1">
      <c r="A38" s="45"/>
    </row>
    <row r="39" spans="1:1">
      <c r="A39" s="45"/>
    </row>
    <row r="40" spans="1:1">
      <c r="A40" s="45"/>
    </row>
    <row r="41" spans="1:1">
      <c r="A41" s="45"/>
    </row>
    <row r="42" spans="1:1">
      <c r="A42" s="45"/>
    </row>
    <row r="43" spans="1:1">
      <c r="A43" s="45"/>
    </row>
    <row r="44" spans="1:1">
      <c r="A44" s="45"/>
    </row>
    <row r="45" spans="1:1">
      <c r="A45" s="45"/>
    </row>
    <row r="46" spans="1:1">
      <c r="A46" s="45"/>
    </row>
    <row r="47" spans="1:1">
      <c r="A47" s="45"/>
    </row>
    <row r="48" spans="1:1">
      <c r="A48" s="45"/>
    </row>
    <row r="49" spans="1:1">
      <c r="A49" s="45"/>
    </row>
    <row r="50" spans="1:1">
      <c r="A50" s="45"/>
    </row>
    <row r="51" spans="1:1">
      <c r="A51" s="45"/>
    </row>
    <row r="52" spans="1:1">
      <c r="A52" s="45"/>
    </row>
    <row r="53" spans="1:1">
      <c r="A53" s="45"/>
    </row>
    <row r="54" spans="1:1">
      <c r="A54" s="45"/>
    </row>
    <row r="55" spans="1:1">
      <c r="A55" s="45"/>
    </row>
    <row r="56" spans="1:1">
      <c r="A56" s="45"/>
    </row>
    <row r="57" spans="1:1">
      <c r="A57" s="45"/>
    </row>
    <row r="58" spans="1:1">
      <c r="A58" s="45"/>
    </row>
    <row r="59" spans="1:1">
      <c r="A59" s="45"/>
    </row>
    <row r="60" spans="1:1">
      <c r="A60" s="45"/>
    </row>
    <row r="61" spans="1:1">
      <c r="A61" s="45"/>
    </row>
    <row r="62" spans="1:1">
      <c r="A62" s="45"/>
    </row>
    <row r="63" spans="1:1">
      <c r="A63" s="45"/>
    </row>
    <row r="64" spans="1:1">
      <c r="A64" s="45"/>
    </row>
    <row r="65" spans="1:1">
      <c r="A65" s="45"/>
    </row>
    <row r="66" spans="1:1">
      <c r="A66" s="45"/>
    </row>
    <row r="67" spans="1:1">
      <c r="A67" s="45"/>
    </row>
    <row r="68" spans="1:1">
      <c r="A68" s="45"/>
    </row>
    <row r="69" spans="1:1">
      <c r="A69" s="45"/>
    </row>
    <row r="70" spans="1:1">
      <c r="A70" s="45"/>
    </row>
    <row r="71" spans="1:1">
      <c r="A71" s="45"/>
    </row>
    <row r="72" spans="1:1">
      <c r="A72" s="45"/>
    </row>
    <row r="73" spans="1:1">
      <c r="A73" s="45"/>
    </row>
    <row r="74" spans="1:1">
      <c r="A74" s="45"/>
    </row>
    <row r="75" spans="1:1">
      <c r="A75" s="45"/>
    </row>
    <row r="76" spans="1:1">
      <c r="A76" s="45"/>
    </row>
    <row r="77" spans="1:1">
      <c r="A77" s="45"/>
    </row>
    <row r="78" spans="1:1">
      <c r="A78" s="45"/>
    </row>
    <row r="79" spans="1:1">
      <c r="A79" s="45"/>
    </row>
    <row r="80" spans="1:1">
      <c r="A80" s="45"/>
    </row>
    <row r="81" spans="1:1">
      <c r="A81" s="45"/>
    </row>
    <row r="82" spans="1:1">
      <c r="A82" s="45"/>
    </row>
    <row r="83" spans="1:1">
      <c r="A83" s="45"/>
    </row>
    <row r="84" spans="1:1">
      <c r="A84" s="45"/>
    </row>
    <row r="85" spans="1:1">
      <c r="A85" s="45"/>
    </row>
    <row r="86" spans="1:1">
      <c r="A86" s="45"/>
    </row>
    <row r="87" spans="1:1">
      <c r="A87" s="45"/>
    </row>
    <row r="88" spans="1:1">
      <c r="A88" s="45"/>
    </row>
    <row r="89" spans="1:1">
      <c r="A89" s="45"/>
    </row>
    <row r="90" spans="1:1">
      <c r="A90" s="45"/>
    </row>
    <row r="91" spans="1:1">
      <c r="A91" s="45"/>
    </row>
    <row r="92" spans="1:1">
      <c r="A92" s="45"/>
    </row>
    <row r="93" spans="1:1">
      <c r="A93" s="45"/>
    </row>
    <row r="94" spans="1:1">
      <c r="A94" s="45"/>
    </row>
    <row r="95" spans="1:1">
      <c r="A95" s="45"/>
    </row>
    <row r="96" spans="1:1">
      <c r="A96" s="45"/>
    </row>
    <row r="97" spans="1:1">
      <c r="A97" s="45"/>
    </row>
    <row r="98" spans="1:1">
      <c r="A98" s="45"/>
    </row>
    <row r="99" spans="1:1">
      <c r="A99" s="45"/>
    </row>
    <row r="100" spans="1:1">
      <c r="A100" s="45"/>
    </row>
    <row r="101" spans="1:1">
      <c r="A101" s="45"/>
    </row>
    <row r="102" spans="1:1">
      <c r="A102" s="45"/>
    </row>
    <row r="103" spans="1:1">
      <c r="A103" s="45"/>
    </row>
    <row r="104" spans="1:1">
      <c r="A104" s="45"/>
    </row>
    <row r="105" spans="1:1">
      <c r="A105" s="45"/>
    </row>
    <row r="106" spans="1:1">
      <c r="A106" s="45"/>
    </row>
    <row r="107" spans="1:1">
      <c r="A107" s="45"/>
    </row>
    <row r="108" spans="1:1">
      <c r="A108" s="45"/>
    </row>
    <row r="109" spans="1:1">
      <c r="A109" s="45"/>
    </row>
    <row r="110" spans="1:1">
      <c r="A110" s="45"/>
    </row>
    <row r="111" spans="1:1">
      <c r="A111" s="45"/>
    </row>
    <row r="112" spans="1:1">
      <c r="A112" s="45"/>
    </row>
    <row r="113" spans="1:1">
      <c r="A113" s="45"/>
    </row>
    <row r="114" spans="1:1">
      <c r="A114" s="45"/>
    </row>
    <row r="115" spans="1:1">
      <c r="A115" s="45"/>
    </row>
    <row r="116" spans="1:1">
      <c r="A116" s="45"/>
    </row>
    <row r="117" spans="1:1">
      <c r="A117" s="45"/>
    </row>
    <row r="118" spans="1:1">
      <c r="A118" s="45"/>
    </row>
    <row r="119" spans="1:1">
      <c r="A119" s="45"/>
    </row>
    <row r="120" spans="1:1">
      <c r="A120" s="45"/>
    </row>
    <row r="121" spans="1:1">
      <c r="A121" s="45"/>
    </row>
    <row r="122" spans="1:1">
      <c r="A122" s="45"/>
    </row>
    <row r="123" spans="1:1">
      <c r="A123" s="45"/>
    </row>
    <row r="124" spans="1:1">
      <c r="A124" s="45"/>
    </row>
    <row r="125" spans="1:1">
      <c r="A125" s="45"/>
    </row>
    <row r="126" spans="1:1">
      <c r="A126" s="45"/>
    </row>
    <row r="127" spans="1:1">
      <c r="A127" s="45"/>
    </row>
    <row r="128" spans="1:1">
      <c r="A128" s="45"/>
    </row>
    <row r="129" spans="1:1">
      <c r="A129" s="45"/>
    </row>
    <row r="130" spans="1:1">
      <c r="A130" s="45"/>
    </row>
    <row r="131" spans="1:1">
      <c r="A131" s="45"/>
    </row>
    <row r="132" spans="1:1">
      <c r="A132" s="45"/>
    </row>
    <row r="133" spans="1:1">
      <c r="A133" s="45"/>
    </row>
    <row r="134" spans="1:1">
      <c r="A134" s="45"/>
    </row>
    <row r="135" spans="1:1">
      <c r="A135" s="45"/>
    </row>
    <row r="136" spans="1:1">
      <c r="A136" s="45"/>
    </row>
    <row r="137" spans="1:1">
      <c r="A137" s="45"/>
    </row>
    <row r="138" spans="1:1">
      <c r="A138" s="45"/>
    </row>
    <row r="139" spans="1:1">
      <c r="A139" s="45"/>
    </row>
    <row r="140" spans="1:1">
      <c r="A140" s="45"/>
    </row>
    <row r="141" spans="1:1">
      <c r="A141" s="45"/>
    </row>
    <row r="142" spans="1:1">
      <c r="A142" s="45"/>
    </row>
    <row r="143" spans="1:1">
      <c r="A143" s="45"/>
    </row>
    <row r="144" spans="1:1">
      <c r="A144" s="45"/>
    </row>
    <row r="145" spans="1:1">
      <c r="A145" s="45"/>
    </row>
    <row r="146" spans="1:1">
      <c r="A146" s="45"/>
    </row>
    <row r="147" spans="1:1">
      <c r="A147" s="45"/>
    </row>
    <row r="148" spans="1:1">
      <c r="A148" s="45"/>
    </row>
    <row r="149" spans="1:1">
      <c r="A149" s="45"/>
    </row>
    <row r="150" spans="1:1">
      <c r="A150" s="45"/>
    </row>
    <row r="151" spans="1:1">
      <c r="A151" s="45"/>
    </row>
    <row r="152" spans="1:1">
      <c r="A152" s="45"/>
    </row>
    <row r="153" spans="1:1">
      <c r="A153" s="45"/>
    </row>
    <row r="154" spans="1:1">
      <c r="A154" s="45"/>
    </row>
    <row r="155" spans="1:1">
      <c r="A155" s="45"/>
    </row>
    <row r="156" spans="1:1">
      <c r="A156" s="45"/>
    </row>
    <row r="157" spans="1:1">
      <c r="A157" s="45"/>
    </row>
    <row r="158" spans="1:1">
      <c r="A158" s="45"/>
    </row>
    <row r="159" spans="1:1">
      <c r="A159" s="45"/>
    </row>
    <row r="160" spans="1:1">
      <c r="A160" s="45"/>
    </row>
    <row r="161" spans="1:1">
      <c r="A161" s="45"/>
    </row>
    <row r="162" spans="1:1">
      <c r="A162" s="45"/>
    </row>
    <row r="163" spans="1:1">
      <c r="A163" s="45"/>
    </row>
    <row r="164" spans="1:1">
      <c r="A164" s="45"/>
    </row>
    <row r="165" spans="1:1">
      <c r="A165" s="45"/>
    </row>
    <row r="166" spans="1:1">
      <c r="A166" s="45"/>
    </row>
    <row r="167" spans="1:1">
      <c r="A167" s="45"/>
    </row>
    <row r="168" spans="1:1">
      <c r="A168" s="45"/>
    </row>
    <row r="169" spans="1:1">
      <c r="A169" s="45"/>
    </row>
    <row r="170" spans="1:1">
      <c r="A170" s="45"/>
    </row>
    <row r="171" spans="1:1">
      <c r="A171" s="45"/>
    </row>
    <row r="172" spans="1:1">
      <c r="A172" s="45"/>
    </row>
    <row r="173" spans="1:1">
      <c r="A173" s="45"/>
    </row>
    <row r="174" spans="1:1">
      <c r="A174" s="45"/>
    </row>
    <row r="175" spans="1:1">
      <c r="A175" s="45"/>
    </row>
    <row r="176" spans="1:1">
      <c r="A176" s="45"/>
    </row>
    <row r="177" spans="1:1">
      <c r="A177" s="45"/>
    </row>
    <row r="178" spans="1:1">
      <c r="A178" s="45"/>
    </row>
    <row r="179" spans="1:1">
      <c r="A179" s="45"/>
    </row>
    <row r="180" spans="1:1">
      <c r="A180" s="45"/>
    </row>
    <row r="181" spans="1:1">
      <c r="A181" s="45"/>
    </row>
    <row r="182" spans="1:1">
      <c r="A182" s="45"/>
    </row>
    <row r="183" spans="1:1">
      <c r="A183" s="45"/>
    </row>
    <row r="184" spans="1:1">
      <c r="A184" s="45"/>
    </row>
    <row r="185" spans="1:1">
      <c r="A185" s="45"/>
    </row>
    <row r="186" spans="1:1">
      <c r="A186" s="45"/>
    </row>
    <row r="187" spans="1:1">
      <c r="A187" s="45"/>
    </row>
    <row r="188" spans="1:1">
      <c r="A188" s="45"/>
    </row>
    <row r="189" spans="1:1">
      <c r="A189" s="45"/>
    </row>
    <row r="190" spans="1:1">
      <c r="A190" s="45"/>
    </row>
    <row r="191" spans="1:1">
      <c r="A191" s="45"/>
    </row>
    <row r="192" spans="1:1">
      <c r="A192" s="45"/>
    </row>
    <row r="193" spans="1:1">
      <c r="A193" s="45"/>
    </row>
    <row r="194" spans="1:1">
      <c r="A194" s="45"/>
    </row>
    <row r="195" spans="1:1">
      <c r="A195" s="45"/>
    </row>
    <row r="196" spans="1:1">
      <c r="A196" s="45"/>
    </row>
    <row r="197" spans="1:1">
      <c r="A197" s="45"/>
    </row>
    <row r="198" spans="1:1">
      <c r="A198" s="45"/>
    </row>
    <row r="199" spans="1:1">
      <c r="A199" s="45"/>
    </row>
    <row r="200" spans="1:1">
      <c r="A200" s="45"/>
    </row>
    <row r="201" spans="1:1">
      <c r="A201" s="45"/>
    </row>
    <row r="202" spans="1:1">
      <c r="A202" s="45"/>
    </row>
    <row r="203" spans="1:1">
      <c r="A203" s="45"/>
    </row>
    <row r="204" spans="1:1">
      <c r="A204" s="45"/>
    </row>
    <row r="205" spans="1:1">
      <c r="A205" s="45"/>
    </row>
    <row r="206" spans="1:1">
      <c r="A206" s="45"/>
    </row>
    <row r="207" spans="1:1">
      <c r="A207" s="45"/>
    </row>
    <row r="208" spans="1:1">
      <c r="A208" s="45"/>
    </row>
    <row r="209" spans="1:1">
      <c r="A209" s="45"/>
    </row>
    <row r="210" spans="1:1">
      <c r="A210" s="45"/>
    </row>
    <row r="211" spans="1:1">
      <c r="A211" s="45"/>
    </row>
    <row r="212" spans="1:1">
      <c r="A212" s="45"/>
    </row>
    <row r="213" spans="1:1">
      <c r="A213" s="45"/>
    </row>
    <row r="214" spans="1:1">
      <c r="A214" s="45"/>
    </row>
    <row r="215" spans="1:1">
      <c r="A215" s="45"/>
    </row>
    <row r="216" spans="1:1">
      <c r="A216" s="45"/>
    </row>
    <row r="217" spans="1:1">
      <c r="A217" s="45"/>
    </row>
    <row r="218" spans="1:1">
      <c r="A218" s="45"/>
    </row>
    <row r="219" spans="1:1">
      <c r="A219" s="45"/>
    </row>
    <row r="220" spans="1:1">
      <c r="A220" s="45"/>
    </row>
    <row r="221" spans="1:1">
      <c r="A221" s="45"/>
    </row>
    <row r="222" spans="1:1">
      <c r="A222" s="45"/>
    </row>
    <row r="223" spans="1:1">
      <c r="A223" s="45"/>
    </row>
    <row r="224" spans="1:1">
      <c r="A224" s="45"/>
    </row>
    <row r="225" spans="1:1">
      <c r="A225" s="45"/>
    </row>
    <row r="226" spans="1:1">
      <c r="A226" s="45"/>
    </row>
    <row r="227" spans="1:1">
      <c r="A227" s="45"/>
    </row>
    <row r="228" spans="1:1">
      <c r="A228" s="45"/>
    </row>
    <row r="229" spans="1:1">
      <c r="A229" s="45"/>
    </row>
    <row r="230" spans="1:1">
      <c r="A230" s="45"/>
    </row>
    <row r="231" spans="1:1">
      <c r="A231" s="45"/>
    </row>
    <row r="232" spans="1:1">
      <c r="A232" s="45"/>
    </row>
    <row r="233" spans="1:1">
      <c r="A233" s="45"/>
    </row>
    <row r="234" spans="1:1">
      <c r="A234" s="45"/>
    </row>
    <row r="235" spans="1:1">
      <c r="A235" s="45"/>
    </row>
    <row r="236" spans="1:1">
      <c r="A236" s="45"/>
    </row>
    <row r="237" spans="1:1">
      <c r="A237" s="45"/>
    </row>
    <row r="238" spans="1:1">
      <c r="A238" s="45"/>
    </row>
    <row r="239" spans="1:1">
      <c r="A239" s="45"/>
    </row>
    <row r="240" spans="1:1">
      <c r="A240" s="45"/>
    </row>
    <row r="241" spans="1:1">
      <c r="A241" s="45"/>
    </row>
    <row r="242" spans="1:1">
      <c r="A242" s="45"/>
    </row>
    <row r="243" spans="1:1">
      <c r="A243" s="45"/>
    </row>
    <row r="244" spans="1:1">
      <c r="A244" s="45"/>
    </row>
    <row r="245" spans="1:1">
      <c r="A245" s="45"/>
    </row>
    <row r="246" spans="1:1">
      <c r="A246" s="45"/>
    </row>
    <row r="247" spans="1:1">
      <c r="A247" s="45"/>
    </row>
    <row r="248" spans="1:1">
      <c r="A248" s="45"/>
    </row>
    <row r="249" spans="1:1">
      <c r="A249" s="45"/>
    </row>
    <row r="250" spans="1:1">
      <c r="A250" s="45"/>
    </row>
    <row r="251" spans="1:1">
      <c r="A251" s="45"/>
    </row>
    <row r="252" spans="1:1">
      <c r="A252" s="45"/>
    </row>
    <row r="253" spans="1:1">
      <c r="A253" s="45"/>
    </row>
    <row r="254" spans="1:1">
      <c r="A254" s="45"/>
    </row>
    <row r="255" spans="1:1">
      <c r="A255" s="45"/>
    </row>
    <row r="256" spans="1:1">
      <c r="A256" s="45"/>
    </row>
    <row r="257" spans="1:1">
      <c r="A257" s="45"/>
    </row>
    <row r="258" spans="1:1">
      <c r="A258" s="45"/>
    </row>
    <row r="259" spans="1:1">
      <c r="A259" s="45"/>
    </row>
    <row r="260" spans="1:1">
      <c r="A260" s="45"/>
    </row>
    <row r="261" spans="1:1">
      <c r="A261" s="45"/>
    </row>
    <row r="262" spans="1:1">
      <c r="A262" s="45"/>
    </row>
    <row r="263" spans="1:1">
      <c r="A263" s="45"/>
    </row>
    <row r="264" spans="1:1">
      <c r="A264" s="45"/>
    </row>
    <row r="265" spans="1:1">
      <c r="A265" s="45"/>
    </row>
    <row r="266" spans="1:1">
      <c r="A266" s="45"/>
    </row>
    <row r="267" spans="1:1">
      <c r="A267" s="45"/>
    </row>
    <row r="268" spans="1:1">
      <c r="A268" s="45"/>
    </row>
    <row r="269" spans="1:1">
      <c r="A269" s="45"/>
    </row>
    <row r="270" spans="1:1">
      <c r="A270" s="45"/>
    </row>
    <row r="271" spans="1:1">
      <c r="A271" s="45"/>
    </row>
    <row r="272" spans="1:1">
      <c r="A272" s="45"/>
    </row>
    <row r="273" spans="1:1">
      <c r="A273" s="45"/>
    </row>
    <row r="274" spans="1:1">
      <c r="A274" s="45"/>
    </row>
    <row r="275" spans="1:1">
      <c r="A275" s="45"/>
    </row>
    <row r="276" spans="1:1">
      <c r="A276" s="45"/>
    </row>
    <row r="277" spans="1:1">
      <c r="A277" s="45"/>
    </row>
    <row r="278" spans="1:1">
      <c r="A278" s="45"/>
    </row>
    <row r="279" spans="1:1">
      <c r="A279" s="45"/>
    </row>
    <row r="280" spans="1:1">
      <c r="A280" s="45"/>
    </row>
    <row r="281" spans="1:1">
      <c r="A281" s="45"/>
    </row>
    <row r="282" spans="1:1">
      <c r="A282" s="45"/>
    </row>
    <row r="283" spans="1:1">
      <c r="A283" s="45"/>
    </row>
    <row r="284" spans="1:1">
      <c r="A284" s="45"/>
    </row>
    <row r="285" spans="1:1">
      <c r="A285" s="45"/>
    </row>
    <row r="286" spans="1:1">
      <c r="A286" s="45"/>
    </row>
    <row r="287" spans="1:1">
      <c r="A287" s="45"/>
    </row>
    <row r="288" spans="1:1">
      <c r="A288" s="45"/>
    </row>
    <row r="289" spans="1:1">
      <c r="A289" s="45"/>
    </row>
    <row r="290" spans="1:1">
      <c r="A290" s="45"/>
    </row>
    <row r="291" spans="1:1">
      <c r="A291" s="45"/>
    </row>
    <row r="292" spans="1:1">
      <c r="A292" s="45"/>
    </row>
    <row r="293" spans="1:1">
      <c r="A293" s="45"/>
    </row>
    <row r="294" spans="1:1">
      <c r="A294" s="45"/>
    </row>
    <row r="295" spans="1:1">
      <c r="A295" s="45"/>
    </row>
    <row r="296" spans="1:1">
      <c r="A296" s="45"/>
    </row>
    <row r="297" spans="1:1">
      <c r="A297" s="45"/>
    </row>
    <row r="298" spans="1:1">
      <c r="A298" s="45"/>
    </row>
    <row r="299" spans="1:1">
      <c r="A299" s="45"/>
    </row>
    <row r="300" spans="1:1">
      <c r="A300" s="4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workbookViewId="0">
      <pane xSplit="1" ySplit="3" topLeftCell="B4" activePane="bottomRight" state="frozen"/>
      <selection pane="topRight" activeCell="B1" sqref="B1"/>
      <selection pane="bottomLeft" activeCell="A2" sqref="A2"/>
      <selection pane="bottomRight" activeCell="J10" sqref="J10"/>
    </sheetView>
  </sheetViews>
  <sheetFormatPr defaultRowHeight="15"/>
  <cols>
    <col min="2" max="2" width="10.85546875" customWidth="1"/>
    <col min="3" max="3" width="9.85546875" style="34" bestFit="1" customWidth="1"/>
    <col min="4" max="4" width="12.7109375" style="34" bestFit="1" customWidth="1"/>
    <col min="5" max="5" width="16.42578125" bestFit="1" customWidth="1"/>
    <col min="6" max="6" width="10" bestFit="1" customWidth="1"/>
    <col min="7" max="7" width="10.7109375" bestFit="1" customWidth="1"/>
    <col min="8" max="8" width="14.7109375" bestFit="1" customWidth="1"/>
    <col min="9" max="9" width="9.85546875" bestFit="1" customWidth="1"/>
    <col min="10" max="10" width="17" customWidth="1"/>
    <col min="12" max="12" width="10.5703125" customWidth="1"/>
    <col min="13" max="13" width="10.28515625" bestFit="1" customWidth="1"/>
  </cols>
  <sheetData>
    <row r="1" spans="1:13" ht="27" customHeight="1">
      <c r="B1" s="32" t="s">
        <v>112</v>
      </c>
    </row>
    <row r="2" spans="1:13" ht="10.5" customHeight="1"/>
    <row r="3" spans="1:13" ht="15.75">
      <c r="A3" s="6" t="s">
        <v>42</v>
      </c>
      <c r="B3" s="6" t="s">
        <v>43</v>
      </c>
      <c r="C3" s="6" t="s">
        <v>11</v>
      </c>
      <c r="D3" s="6" t="s">
        <v>12</v>
      </c>
      <c r="E3" s="6" t="s">
        <v>44</v>
      </c>
      <c r="F3" s="6" t="s">
        <v>17</v>
      </c>
      <c r="G3" s="6" t="s">
        <v>45</v>
      </c>
      <c r="H3" s="6" t="s">
        <v>26</v>
      </c>
      <c r="I3" s="6" t="s">
        <v>31</v>
      </c>
      <c r="J3" s="6" t="s">
        <v>46</v>
      </c>
      <c r="K3" s="6" t="s">
        <v>47</v>
      </c>
      <c r="L3" s="6" t="s">
        <v>48</v>
      </c>
      <c r="M3" s="6" t="s">
        <v>49</v>
      </c>
    </row>
    <row r="4" spans="1:13" ht="60">
      <c r="A4" s="4"/>
      <c r="B4" s="42">
        <v>46301</v>
      </c>
      <c r="C4" s="1" t="s">
        <v>0</v>
      </c>
      <c r="D4" s="1" t="s">
        <v>13</v>
      </c>
      <c r="E4" s="1" t="s">
        <v>119</v>
      </c>
      <c r="F4" s="1" t="s">
        <v>18</v>
      </c>
      <c r="G4" s="1">
        <v>10</v>
      </c>
      <c r="H4" s="1" t="s">
        <v>29</v>
      </c>
      <c r="I4" s="1" t="s">
        <v>32</v>
      </c>
      <c r="J4" s="4" t="s">
        <v>114</v>
      </c>
      <c r="K4" s="1"/>
      <c r="L4" s="1"/>
      <c r="M4" s="1"/>
    </row>
    <row r="5" spans="1:13">
      <c r="A5" s="4"/>
      <c r="B5" s="42">
        <v>46301</v>
      </c>
      <c r="C5" s="1" t="s">
        <v>0</v>
      </c>
      <c r="D5" s="33" t="s">
        <v>13</v>
      </c>
      <c r="E5" s="1" t="s">
        <v>120</v>
      </c>
      <c r="F5" s="1" t="s">
        <v>24</v>
      </c>
      <c r="G5" s="1">
        <v>10</v>
      </c>
      <c r="H5" s="1" t="s">
        <v>29</v>
      </c>
      <c r="I5" s="1" t="s">
        <v>32</v>
      </c>
      <c r="J5" s="1" t="s">
        <v>115</v>
      </c>
      <c r="K5" s="1"/>
      <c r="L5" s="1"/>
      <c r="M5" s="1"/>
    </row>
    <row r="6" spans="1:13">
      <c r="A6" s="4"/>
      <c r="B6" s="42">
        <v>46301</v>
      </c>
      <c r="C6" s="1" t="s">
        <v>0</v>
      </c>
      <c r="D6" s="1" t="s">
        <v>14</v>
      </c>
      <c r="E6" s="1" t="s">
        <v>121</v>
      </c>
      <c r="F6" s="1" t="s">
        <v>24</v>
      </c>
      <c r="G6" s="1">
        <v>10</v>
      </c>
      <c r="H6" s="1" t="s">
        <v>29</v>
      </c>
      <c r="I6" s="1" t="s">
        <v>32</v>
      </c>
      <c r="J6" s="1"/>
      <c r="K6" s="1"/>
      <c r="L6" s="1"/>
      <c r="M6" s="1"/>
    </row>
    <row r="7" spans="1:13">
      <c r="A7" s="4"/>
      <c r="B7" s="42">
        <v>46301</v>
      </c>
      <c r="C7" s="1" t="s">
        <v>0</v>
      </c>
      <c r="D7" s="1" t="s">
        <v>14</v>
      </c>
      <c r="E7" s="1" t="s">
        <v>122</v>
      </c>
      <c r="F7" s="1" t="s">
        <v>24</v>
      </c>
      <c r="G7" s="1">
        <v>10</v>
      </c>
      <c r="H7" s="1" t="s">
        <v>29</v>
      </c>
      <c r="I7" s="1" t="s">
        <v>32</v>
      </c>
      <c r="J7" s="1"/>
      <c r="K7" s="1"/>
      <c r="L7" s="1"/>
      <c r="M7" s="1"/>
    </row>
    <row r="8" spans="1:13">
      <c r="A8" s="4"/>
      <c r="B8" s="42">
        <v>46301</v>
      </c>
      <c r="C8" s="1" t="s">
        <v>0</v>
      </c>
      <c r="D8" s="1" t="s">
        <v>15</v>
      </c>
      <c r="E8" s="1" t="s">
        <v>113</v>
      </c>
      <c r="F8" s="1"/>
      <c r="G8" s="1"/>
      <c r="H8" s="1"/>
      <c r="I8" s="1"/>
      <c r="J8" s="1"/>
      <c r="K8" s="1"/>
      <c r="L8" s="1"/>
      <c r="M8" s="1"/>
    </row>
    <row r="9" spans="1:13">
      <c r="A9" s="4"/>
      <c r="B9" s="42">
        <v>46301</v>
      </c>
      <c r="C9" s="1" t="s">
        <v>1</v>
      </c>
      <c r="D9" s="1" t="s">
        <v>14</v>
      </c>
      <c r="E9" t="s">
        <v>116</v>
      </c>
      <c r="F9" t="s">
        <v>25</v>
      </c>
      <c r="G9" s="1">
        <v>25</v>
      </c>
      <c r="H9" t="s">
        <v>29</v>
      </c>
      <c r="I9" t="s">
        <v>33</v>
      </c>
      <c r="J9" t="s">
        <v>117</v>
      </c>
    </row>
    <row r="10" spans="1:13">
      <c r="A10" s="4"/>
      <c r="B10" s="42">
        <v>46301</v>
      </c>
      <c r="C10" s="1" t="s">
        <v>2</v>
      </c>
      <c r="D10" s="1" t="s">
        <v>14</v>
      </c>
      <c r="E10" t="s">
        <v>118</v>
      </c>
      <c r="F10" t="s">
        <v>24</v>
      </c>
      <c r="G10" s="1">
        <v>15</v>
      </c>
      <c r="H10" t="s">
        <v>29</v>
      </c>
      <c r="I10" t="s">
        <v>32</v>
      </c>
    </row>
    <row r="11" spans="1:13">
      <c r="A11" s="4"/>
      <c r="B11" s="4"/>
      <c r="C11" s="1"/>
      <c r="D11" s="1"/>
    </row>
    <row r="12" spans="1:13">
      <c r="A12" s="4"/>
      <c r="B12" s="4"/>
      <c r="C12" s="1"/>
      <c r="D12" s="1"/>
    </row>
    <row r="13" spans="1:13">
      <c r="A13" s="4"/>
      <c r="B13" s="4"/>
      <c r="C13" s="1"/>
      <c r="D13" s="1"/>
    </row>
    <row r="14" spans="1:13">
      <c r="A14" s="4"/>
      <c r="B14" s="4"/>
      <c r="C14" s="1"/>
      <c r="D14" s="1"/>
    </row>
    <row r="15" spans="1:13">
      <c r="A15" s="4"/>
      <c r="B15" s="4"/>
      <c r="C15" s="1"/>
      <c r="D15" s="43"/>
    </row>
    <row r="16" spans="1:13">
      <c r="A16" s="4"/>
      <c r="B16" s="4"/>
      <c r="C16" s="1"/>
      <c r="D16" s="43"/>
    </row>
  </sheetData>
  <conditionalFormatting sqref="H4:H300">
    <cfRule type="cellIs" dxfId="3" priority="1" operator="equal">
      <formula>"❌ Failed"</formula>
    </cfRule>
    <cfRule type="cellIs" dxfId="2" priority="2" operator="equal">
      <formula>"⬜ Not Started"</formula>
    </cfRule>
    <cfRule type="cellIs" dxfId="1" priority="3" operator="equal">
      <formula>"⏳ In Progress"</formula>
    </cfRule>
    <cfRule type="cellIs" dxfId="0" priority="4" operator="equal">
      <formula>"✅ Done"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B94D5B2-4F7B-427D-BF8F-4CC6068327A1}">
          <x14:formula1>
            <xm:f>Settings!$A$4:$A$14</xm:f>
          </x14:formula1>
          <xm:sqref>C4:C302</xm:sqref>
        </x14:dataValidation>
        <x14:dataValidation type="list" allowBlank="1" showInputMessage="1" showErrorMessage="1" xr:uid="{6FA34440-7CE5-461C-8FCC-FA57AFAB1728}">
          <x14:formula1>
            <xm:f>Settings!$B$4:$B$7</xm:f>
          </x14:formula1>
          <xm:sqref>D4:D302</xm:sqref>
        </x14:dataValidation>
        <x14:dataValidation type="list" allowBlank="1" showInputMessage="1" showErrorMessage="1" xr:uid="{1109A8AE-2FBD-4B70-8D3E-33E8D02A626C}">
          <x14:formula1>
            <xm:f>Settings!$C$4:$C$11</xm:f>
          </x14:formula1>
          <xm:sqref>F4:F302</xm:sqref>
        </x14:dataValidation>
        <x14:dataValidation type="list" allowBlank="1" showInputMessage="1" showErrorMessage="1" xr:uid="{7572C1FD-74BC-46CC-A6DD-14B9EC54B705}">
          <x14:formula1>
            <xm:f>Settings!$D$4:$D$7</xm:f>
          </x14:formula1>
          <xm:sqref>H4:H302</xm:sqref>
        </x14:dataValidation>
        <x14:dataValidation type="list" allowBlank="1" showInputMessage="1" showErrorMessage="1" xr:uid="{DC4C3387-C2D5-4E6A-8F2D-5E6750C7D34F}">
          <x14:formula1>
            <xm:f>Settings!$E$4:$E$6</xm:f>
          </x14:formula1>
          <xm:sqref>I4:I302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62AEE-BA94-43D2-9B90-E780A9A9C5E1}">
  <dimension ref="A1:E13"/>
  <sheetViews>
    <sheetView workbookViewId="0">
      <selection activeCell="I8" sqref="I8"/>
    </sheetView>
  </sheetViews>
  <sheetFormatPr defaultRowHeight="15"/>
  <cols>
    <col min="1" max="1" width="17.28515625" customWidth="1"/>
    <col min="4" max="4" width="11.7109375" customWidth="1"/>
  </cols>
  <sheetData>
    <row r="1" spans="1:5" ht="18.75" thickBot="1">
      <c r="A1" s="32" t="s">
        <v>106</v>
      </c>
    </row>
    <row r="2" spans="1:5" s="36" customFormat="1" ht="15.75">
      <c r="A2" s="14" t="s">
        <v>11</v>
      </c>
      <c r="B2" s="41" t="s">
        <v>55</v>
      </c>
      <c r="C2" s="41" t="s">
        <v>61</v>
      </c>
      <c r="D2" s="41" t="s">
        <v>105</v>
      </c>
      <c r="E2" s="15" t="s">
        <v>75</v>
      </c>
    </row>
    <row r="3" spans="1:5" ht="15.75">
      <c r="A3" s="37" t="s">
        <v>0</v>
      </c>
      <c r="B3" s="38">
        <f>COUNTIF(Problems!C:C,A3)</f>
        <v>5</v>
      </c>
      <c r="C3" s="38">
        <f>COUNTIFS(Problems!C:C,A3,Problems!H:H,"✅ Done")</f>
        <v>4</v>
      </c>
      <c r="D3" s="21">
        <f>IF(B3=0,0,C3/B3)</f>
        <v>0.8</v>
      </c>
      <c r="E3" s="11">
        <f>SUMIF(Problems!C:C,A3,Problems!G:G)</f>
        <v>40</v>
      </c>
    </row>
    <row r="4" spans="1:5" ht="15.75">
      <c r="A4" s="37" t="s">
        <v>1</v>
      </c>
      <c r="B4" s="38">
        <f>COUNTIF(Problems!C:C,A4)</f>
        <v>1</v>
      </c>
      <c r="C4" s="38">
        <f>COUNTIFS(Problems!C:C,A4,Problems!H:H,"✅ Done")</f>
        <v>1</v>
      </c>
      <c r="D4" s="21">
        <f>IF(B4=0,0,C4/B4)</f>
        <v>1</v>
      </c>
      <c r="E4" s="11">
        <f>SUMIF(Problems!C:C,A4,Problems!G:G)</f>
        <v>25</v>
      </c>
    </row>
    <row r="5" spans="1:5" ht="15.75">
      <c r="A5" s="37" t="s">
        <v>2</v>
      </c>
      <c r="B5" s="38">
        <f>COUNTIF(Problems!C:C,A5)</f>
        <v>1</v>
      </c>
      <c r="C5" s="38">
        <f>COUNTIFS(Problems!C:C,A5,Problems!H:H,"✅ Done")</f>
        <v>1</v>
      </c>
      <c r="D5" s="21">
        <f t="shared" ref="D5:D13" si="0">IF(B5=0,0,C5/B5)</f>
        <v>1</v>
      </c>
      <c r="E5" s="11">
        <f>SUMIF(Problems!C:C,A5,Problems!G:G)</f>
        <v>15</v>
      </c>
    </row>
    <row r="6" spans="1:5" ht="15.75">
      <c r="A6" s="37" t="s">
        <v>3</v>
      </c>
      <c r="B6" s="38">
        <f>COUNTIF(Problems!C:C,A6)</f>
        <v>0</v>
      </c>
      <c r="C6" s="38">
        <f>COUNTIFS(Problems!C:C,A6,Problems!H:H,"✅ Done")</f>
        <v>0</v>
      </c>
      <c r="D6" s="21">
        <f t="shared" si="0"/>
        <v>0</v>
      </c>
      <c r="E6" s="11">
        <f>SUMIF(Problems!C:C,A6,Problems!G:G)</f>
        <v>0</v>
      </c>
    </row>
    <row r="7" spans="1:5" ht="15.75">
      <c r="A7" s="37" t="s">
        <v>4</v>
      </c>
      <c r="B7" s="38">
        <f>COUNTIF(Problems!C:C,A7)</f>
        <v>0</v>
      </c>
      <c r="C7" s="38">
        <f>COUNTIFS(Problems!C:C,A7,Problems!H:H,"✅ Done")</f>
        <v>0</v>
      </c>
      <c r="D7" s="21">
        <f t="shared" si="0"/>
        <v>0</v>
      </c>
      <c r="E7" s="11">
        <f>SUMIF(Problems!C:C,A7,Problems!G:G)</f>
        <v>0</v>
      </c>
    </row>
    <row r="8" spans="1:5" ht="15.75">
      <c r="A8" s="37" t="s">
        <v>5</v>
      </c>
      <c r="B8" s="38">
        <f>COUNTIF(Problems!C:C,A8)</f>
        <v>0</v>
      </c>
      <c r="C8" s="38">
        <f>COUNTIFS(Problems!C:C,A8,Problems!H:H,"✅ Done")</f>
        <v>0</v>
      </c>
      <c r="D8" s="21">
        <f t="shared" si="0"/>
        <v>0</v>
      </c>
      <c r="E8" s="11">
        <f>SUMIF(Problems!C:C,A8,Problems!G:G)</f>
        <v>0</v>
      </c>
    </row>
    <row r="9" spans="1:5" ht="15.75">
      <c r="A9" s="37" t="s">
        <v>6</v>
      </c>
      <c r="B9" s="38">
        <f>COUNTIF(Problems!C:C,A9)</f>
        <v>0</v>
      </c>
      <c r="C9" s="38">
        <f>COUNTIFS(Problems!C:C,A9,Problems!H:H,"✅ Done")</f>
        <v>0</v>
      </c>
      <c r="D9" s="21">
        <f t="shared" si="0"/>
        <v>0</v>
      </c>
      <c r="E9" s="11">
        <f>SUMIF(Problems!C:C,A9,Problems!G:G)</f>
        <v>0</v>
      </c>
    </row>
    <row r="10" spans="1:5" ht="15.75">
      <c r="A10" s="37" t="s">
        <v>7</v>
      </c>
      <c r="B10" s="38">
        <f>COUNTIF(Problems!C:C,A10)</f>
        <v>0</v>
      </c>
      <c r="C10" s="38">
        <f>COUNTIFS(Problems!C:C,A10,Problems!H:H,"✅ Done")</f>
        <v>0</v>
      </c>
      <c r="D10" s="21">
        <f t="shared" si="0"/>
        <v>0</v>
      </c>
      <c r="E10" s="11">
        <f>SUMIF(Problems!C:C,A10,Problems!G:G)</f>
        <v>0</v>
      </c>
    </row>
    <row r="11" spans="1:5" ht="15.75">
      <c r="A11" s="37" t="s">
        <v>8</v>
      </c>
      <c r="B11" s="38">
        <f>COUNTIF(Problems!C:C,A11)</f>
        <v>0</v>
      </c>
      <c r="C11" s="38">
        <f>COUNTIFS(Problems!C:C,A11,Problems!H:H,"✅ Done")</f>
        <v>0</v>
      </c>
      <c r="D11" s="21">
        <f t="shared" si="0"/>
        <v>0</v>
      </c>
      <c r="E11" s="11">
        <f>SUMIF(Problems!C:C,A11,Problems!G:G)</f>
        <v>0</v>
      </c>
    </row>
    <row r="12" spans="1:5" ht="15.75">
      <c r="A12" s="37" t="s">
        <v>9</v>
      </c>
      <c r="B12" s="38">
        <f>COUNTIF(Problems!C:C,A12)</f>
        <v>0</v>
      </c>
      <c r="C12" s="38">
        <f>COUNTIFS(Problems!C:C,A12,Problems!H:H,"✅ Done")</f>
        <v>0</v>
      </c>
      <c r="D12" s="21">
        <f t="shared" si="0"/>
        <v>0</v>
      </c>
      <c r="E12" s="11">
        <f>SUMIF(Problems!C:C,A12,Problems!G:G)</f>
        <v>0</v>
      </c>
    </row>
    <row r="13" spans="1:5" ht="16.5" thickBot="1">
      <c r="A13" s="39" t="s">
        <v>10</v>
      </c>
      <c r="B13" s="40">
        <f>COUNTIF(Problems!C:C,A13)</f>
        <v>0</v>
      </c>
      <c r="C13" s="40">
        <f>COUNTIFS(Problems!C:C,A13,Problems!H:H,"✅ Done")</f>
        <v>0</v>
      </c>
      <c r="D13" s="22">
        <f t="shared" si="0"/>
        <v>0</v>
      </c>
      <c r="E13" s="13">
        <f>SUMIF(Problems!C:C,A13,Problems!G:G)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2A49-1791-4439-B285-B5F4BFDBACFC}">
  <dimension ref="A1:B24"/>
  <sheetViews>
    <sheetView workbookViewId="0">
      <selection activeCell="E8" sqref="E8"/>
    </sheetView>
  </sheetViews>
  <sheetFormatPr defaultRowHeight="15"/>
  <cols>
    <col min="1" max="1" width="26.42578125" bestFit="1" customWidth="1"/>
    <col min="2" max="2" width="15.42578125" bestFit="1" customWidth="1"/>
    <col min="7" max="7" width="10.42578125" customWidth="1"/>
  </cols>
  <sheetData>
    <row r="1" spans="1:2" ht="26.25" customHeight="1">
      <c r="A1" s="32" t="s">
        <v>108</v>
      </c>
    </row>
    <row r="2" spans="1:2">
      <c r="A2" s="1" t="s">
        <v>43</v>
      </c>
      <c r="B2" s="33">
        <v>46300</v>
      </c>
    </row>
    <row r="3" spans="1:2">
      <c r="A3" s="1" t="s">
        <v>77</v>
      </c>
      <c r="B3" s="1" t="s">
        <v>78</v>
      </c>
    </row>
    <row r="4" spans="1:2">
      <c r="A4" s="1" t="s">
        <v>79</v>
      </c>
      <c r="B4" s="1" t="s">
        <v>80</v>
      </c>
    </row>
    <row r="5" spans="1:2">
      <c r="A5" s="1" t="s">
        <v>81</v>
      </c>
      <c r="B5" s="1" t="s">
        <v>82</v>
      </c>
    </row>
    <row r="6" spans="1:2">
      <c r="A6" s="1" t="s">
        <v>83</v>
      </c>
      <c r="B6" s="1" t="s">
        <v>84</v>
      </c>
    </row>
    <row r="10" spans="1:2">
      <c r="A10" t="s">
        <v>85</v>
      </c>
    </row>
    <row r="11" spans="1:2">
      <c r="A11" t="s">
        <v>95</v>
      </c>
    </row>
    <row r="13" spans="1:2">
      <c r="A13" t="s">
        <v>86</v>
      </c>
    </row>
    <row r="14" spans="1:2">
      <c r="A14" t="s">
        <v>87</v>
      </c>
    </row>
    <row r="15" spans="1:2">
      <c r="A15" t="s">
        <v>88</v>
      </c>
    </row>
    <row r="17" spans="1:1">
      <c r="A17" t="s">
        <v>89</v>
      </c>
    </row>
    <row r="18" spans="1:1">
      <c r="A18" t="s">
        <v>93</v>
      </c>
    </row>
    <row r="20" spans="1:1">
      <c r="A20" t="s">
        <v>90</v>
      </c>
    </row>
    <row r="21" spans="1:1">
      <c r="A21" t="s">
        <v>94</v>
      </c>
    </row>
    <row r="23" spans="1:1">
      <c r="A23" t="s">
        <v>91</v>
      </c>
    </row>
    <row r="24" spans="1:1">
      <c r="A24" t="s">
        <v>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8A812-2AC8-4CFE-A2CB-9748070C4304}">
  <dimension ref="A1:G11"/>
  <sheetViews>
    <sheetView workbookViewId="0">
      <selection activeCell="J7" sqref="J7"/>
    </sheetView>
  </sheetViews>
  <sheetFormatPr defaultRowHeight="15"/>
  <cols>
    <col min="3" max="3" width="10.28515625" bestFit="1" customWidth="1"/>
  </cols>
  <sheetData>
    <row r="1" spans="1:7" ht="24" customHeight="1">
      <c r="A1" s="32" t="s">
        <v>107</v>
      </c>
    </row>
    <row r="2" spans="1:7" s="36" customFormat="1" ht="15.75">
      <c r="A2" s="35" t="s">
        <v>43</v>
      </c>
      <c r="B2" s="35" t="s">
        <v>11</v>
      </c>
      <c r="C2" s="35" t="s">
        <v>81</v>
      </c>
      <c r="D2" s="35" t="s">
        <v>97</v>
      </c>
      <c r="E2" s="35" t="s">
        <v>99</v>
      </c>
      <c r="F2" s="35" t="s">
        <v>101</v>
      </c>
      <c r="G2" s="35" t="s">
        <v>26</v>
      </c>
    </row>
    <row r="3" spans="1:7">
      <c r="A3" s="4"/>
      <c r="B3" s="4"/>
    </row>
    <row r="4" spans="1:7">
      <c r="A4" s="4"/>
      <c r="B4" s="4"/>
      <c r="C4" s="5"/>
    </row>
    <row r="5" spans="1:7">
      <c r="A5" s="4"/>
      <c r="B5" s="4"/>
      <c r="C5" s="4"/>
    </row>
    <row r="6" spans="1:7">
      <c r="A6" s="4"/>
      <c r="B6" s="4"/>
      <c r="C6" s="4"/>
    </row>
    <row r="7" spans="1:7">
      <c r="A7" s="4"/>
      <c r="B7" s="4"/>
      <c r="C7" s="4"/>
    </row>
    <row r="8" spans="1:7">
      <c r="A8" s="4"/>
      <c r="B8" s="4"/>
      <c r="C8" s="4"/>
    </row>
    <row r="9" spans="1:7">
      <c r="A9" s="4"/>
      <c r="B9" s="4"/>
      <c r="C9" s="4"/>
    </row>
    <row r="10" spans="1:7">
      <c r="A10" t="s">
        <v>104</v>
      </c>
      <c r="C10" s="4"/>
    </row>
    <row r="11" spans="1:7" ht="45">
      <c r="A11" s="5">
        <v>46300</v>
      </c>
      <c r="B11" s="4" t="s">
        <v>3</v>
      </c>
      <c r="C11" s="4" t="s">
        <v>96</v>
      </c>
      <c r="D11" s="4" t="s">
        <v>98</v>
      </c>
      <c r="E11" s="4" t="s">
        <v>100</v>
      </c>
      <c r="F11" s="4" t="s">
        <v>102</v>
      </c>
      <c r="G11" s="4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3A8A-30E8-46FE-8BA4-27AD2D2A812C}">
  <dimension ref="A1:F14"/>
  <sheetViews>
    <sheetView workbookViewId="0">
      <selection activeCell="A4" sqref="A4"/>
    </sheetView>
  </sheetViews>
  <sheetFormatPr defaultRowHeight="15"/>
  <cols>
    <col min="2" max="2" width="12" bestFit="1" customWidth="1"/>
    <col min="3" max="3" width="14" bestFit="1" customWidth="1"/>
    <col min="4" max="4" width="13.7109375" bestFit="1" customWidth="1"/>
    <col min="6" max="6" width="9.28515625" customWidth="1"/>
  </cols>
  <sheetData>
    <row r="1" spans="1:6" ht="25.5" customHeight="1">
      <c r="B1" s="32" t="s">
        <v>111</v>
      </c>
    </row>
    <row r="3" spans="1:6">
      <c r="A3" s="3" t="s">
        <v>11</v>
      </c>
      <c r="B3" s="3" t="s">
        <v>12</v>
      </c>
      <c r="C3" s="3" t="s">
        <v>17</v>
      </c>
      <c r="D3" s="3" t="s">
        <v>26</v>
      </c>
      <c r="E3" s="3" t="s">
        <v>31</v>
      </c>
      <c r="F3" s="3" t="s">
        <v>35</v>
      </c>
    </row>
    <row r="4" spans="1:6">
      <c r="A4" s="2" t="s">
        <v>0</v>
      </c>
      <c r="B4" s="2" t="s">
        <v>13</v>
      </c>
      <c r="C4" s="2" t="s">
        <v>18</v>
      </c>
      <c r="D4" s="2" t="s">
        <v>27</v>
      </c>
      <c r="E4" s="2" t="s">
        <v>32</v>
      </c>
      <c r="F4" s="2" t="s">
        <v>36</v>
      </c>
    </row>
    <row r="5" spans="1:6">
      <c r="A5" s="2" t="s">
        <v>1</v>
      </c>
      <c r="B5" s="2" t="s">
        <v>14</v>
      </c>
      <c r="C5" s="2" t="s">
        <v>19</v>
      </c>
      <c r="D5" s="2" t="s">
        <v>28</v>
      </c>
      <c r="E5" s="2" t="s">
        <v>33</v>
      </c>
      <c r="F5" s="2" t="s">
        <v>37</v>
      </c>
    </row>
    <row r="6" spans="1:6">
      <c r="A6" s="2" t="s">
        <v>2</v>
      </c>
      <c r="B6" s="2" t="s">
        <v>15</v>
      </c>
      <c r="C6" s="2" t="s">
        <v>20</v>
      </c>
      <c r="D6" s="2" t="s">
        <v>29</v>
      </c>
      <c r="E6" s="2" t="s">
        <v>34</v>
      </c>
      <c r="F6" s="2" t="s">
        <v>38</v>
      </c>
    </row>
    <row r="7" spans="1:6">
      <c r="A7" s="2" t="s">
        <v>3</v>
      </c>
      <c r="B7" s="2" t="s">
        <v>16</v>
      </c>
      <c r="C7" s="2" t="s">
        <v>21</v>
      </c>
      <c r="D7" s="2" t="s">
        <v>30</v>
      </c>
      <c r="F7" s="2" t="s">
        <v>39</v>
      </c>
    </row>
    <row r="8" spans="1:6">
      <c r="A8" s="2" t="s">
        <v>4</v>
      </c>
      <c r="C8" s="2" t="s">
        <v>22</v>
      </c>
      <c r="F8" s="2" t="s">
        <v>40</v>
      </c>
    </row>
    <row r="9" spans="1:6">
      <c r="A9" s="2" t="s">
        <v>5</v>
      </c>
      <c r="C9" s="2" t="s">
        <v>23</v>
      </c>
      <c r="F9" s="2" t="s">
        <v>41</v>
      </c>
    </row>
    <row r="10" spans="1:6">
      <c r="A10" s="2" t="s">
        <v>6</v>
      </c>
      <c r="C10" s="2" t="s">
        <v>24</v>
      </c>
    </row>
    <row r="11" spans="1:6">
      <c r="A11" s="2" t="s">
        <v>7</v>
      </c>
      <c r="C11" s="2" t="s">
        <v>25</v>
      </c>
    </row>
    <row r="12" spans="1:6">
      <c r="A12" s="2" t="s">
        <v>8</v>
      </c>
    </row>
    <row r="13" spans="1:6">
      <c r="A13" s="2" t="s">
        <v>9</v>
      </c>
    </row>
    <row r="14" spans="1:6">
      <c r="A14" s="2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Practice_Log</vt:lpstr>
      <vt:lpstr>Problems</vt:lpstr>
      <vt:lpstr>Topics</vt:lpstr>
      <vt:lpstr>Journal</vt:lpstr>
      <vt:lpstr>Challenges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2026-10-06T22:43:36Z</dcterms:modified>
</cp:coreProperties>
</file>